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Desktop\work\Work\Project\financial_management\"/>
    </mc:Choice>
  </mc:AlternateContent>
  <xr:revisionPtr revIDLastSave="0" documentId="13_ncr:1_{F0C53A5F-E745-4339-ADE4-8214770546E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Z45" i="1"/>
  <c r="AA45" i="1"/>
  <c r="AB45" i="1"/>
  <c r="AC45" i="1"/>
  <c r="A45" i="1"/>
  <c r="W45" i="1" s="1"/>
  <c r="A44" i="1"/>
  <c r="W44" i="1" s="1"/>
  <c r="A43" i="1"/>
  <c r="W43" i="1" s="1"/>
  <c r="A42" i="1"/>
  <c r="X42" i="1" s="1"/>
  <c r="Z44" i="1"/>
  <c r="AA44" i="1"/>
  <c r="AB44" i="1"/>
  <c r="AC44" i="1"/>
  <c r="Z43" i="1"/>
  <c r="AA43" i="1"/>
  <c r="AB43" i="1"/>
  <c r="AC43" i="1"/>
  <c r="AB42" i="1"/>
  <c r="Z42" i="1"/>
  <c r="AC42" i="1"/>
  <c r="AA42" i="1"/>
  <c r="Z41" i="1"/>
  <c r="AA41" i="1"/>
  <c r="AB41" i="1"/>
  <c r="AC41" i="1"/>
  <c r="A41" i="1"/>
  <c r="X41" i="1" s="1"/>
  <c r="Z40" i="1"/>
  <c r="AA40" i="1"/>
  <c r="AB40" i="1"/>
  <c r="AC40" i="1"/>
  <c r="A40" i="1"/>
  <c r="W40" i="1" s="1"/>
  <c r="AC39" i="1"/>
  <c r="AB39" i="1"/>
  <c r="AA39" i="1"/>
  <c r="Z39" i="1"/>
  <c r="A39" i="1"/>
  <c r="Y39" i="1" s="1"/>
  <c r="AC38" i="1"/>
  <c r="AB38" i="1"/>
  <c r="AA38" i="1"/>
  <c r="Z38" i="1"/>
  <c r="A38" i="1"/>
  <c r="Y38" i="1" s="1"/>
  <c r="AC37" i="1"/>
  <c r="AB37" i="1"/>
  <c r="AA37" i="1"/>
  <c r="Z37" i="1"/>
  <c r="A37" i="1"/>
  <c r="Y37" i="1" s="1"/>
  <c r="AC36" i="1"/>
  <c r="AB36" i="1"/>
  <c r="AA36" i="1"/>
  <c r="Z36" i="1"/>
  <c r="A36" i="1"/>
  <c r="Y36" i="1" s="1"/>
  <c r="AC35" i="1"/>
  <c r="AB35" i="1"/>
  <c r="AA35" i="1"/>
  <c r="Z35" i="1"/>
  <c r="A35" i="1"/>
  <c r="Q35" i="1" s="1"/>
  <c r="AC34" i="1"/>
  <c r="AB34" i="1"/>
  <c r="AA34" i="1"/>
  <c r="Z34" i="1"/>
  <c r="A34" i="1"/>
  <c r="Q34" i="1" s="1"/>
  <c r="AC33" i="1"/>
  <c r="AB33" i="1"/>
  <c r="AA33" i="1"/>
  <c r="Z33" i="1"/>
  <c r="A33" i="1"/>
  <c r="I33" i="1" s="1"/>
  <c r="AC32" i="1"/>
  <c r="AB32" i="1"/>
  <c r="AA32" i="1"/>
  <c r="Z32" i="1"/>
  <c r="A32" i="1"/>
  <c r="Y32" i="1" s="1"/>
  <c r="AC31" i="1"/>
  <c r="AB31" i="1"/>
  <c r="AA31" i="1"/>
  <c r="Z31" i="1"/>
  <c r="A31" i="1"/>
  <c r="Q31" i="1" s="1"/>
  <c r="AC30" i="1"/>
  <c r="AB30" i="1"/>
  <c r="AA30" i="1"/>
  <c r="Z30" i="1"/>
  <c r="A30" i="1"/>
  <c r="G30" i="1" s="1"/>
  <c r="AC29" i="1"/>
  <c r="AB29" i="1"/>
  <c r="AA29" i="1"/>
  <c r="Z29" i="1"/>
  <c r="A29" i="1"/>
  <c r="M29" i="1" s="1"/>
  <c r="AC28" i="1"/>
  <c r="AB28" i="1"/>
  <c r="AA28" i="1"/>
  <c r="Z28" i="1"/>
  <c r="A28" i="1"/>
  <c r="W28" i="1" s="1"/>
  <c r="AC27" i="1"/>
  <c r="AB27" i="1"/>
  <c r="AA27" i="1"/>
  <c r="Z27" i="1"/>
  <c r="A27" i="1"/>
  <c r="Q27" i="1" s="1"/>
  <c r="AC26" i="1"/>
  <c r="AB26" i="1"/>
  <c r="AA26" i="1"/>
  <c r="Z26" i="1"/>
  <c r="A26" i="1"/>
  <c r="G26" i="1" s="1"/>
  <c r="AC25" i="1"/>
  <c r="AB25" i="1"/>
  <c r="AA25" i="1"/>
  <c r="Z25" i="1"/>
  <c r="A25" i="1"/>
  <c r="M25" i="1" s="1"/>
  <c r="A24" i="1"/>
  <c r="M24" i="1" s="1"/>
  <c r="A23" i="1"/>
  <c r="C23" i="1" s="1"/>
  <c r="A22" i="1"/>
  <c r="C22" i="1" s="1"/>
  <c r="A21" i="1"/>
  <c r="Q21" i="1" s="1"/>
  <c r="A20" i="1"/>
  <c r="G20" i="1" s="1"/>
  <c r="A19" i="1"/>
  <c r="O19" i="1" s="1"/>
  <c r="A18" i="1"/>
  <c r="O18" i="1" s="1"/>
  <c r="A17" i="1"/>
  <c r="M17" i="1" s="1"/>
  <c r="A16" i="1"/>
  <c r="O16" i="1" s="1"/>
  <c r="A15" i="1"/>
  <c r="M15" i="1" s="1"/>
  <c r="A14" i="1"/>
  <c r="O14" i="1" s="1"/>
  <c r="A13" i="1"/>
  <c r="M13" i="1" s="1"/>
  <c r="A12" i="1"/>
  <c r="G12" i="1" s="1"/>
  <c r="A11" i="1"/>
  <c r="M11" i="1" s="1"/>
  <c r="A10" i="1"/>
  <c r="G10" i="1" s="1"/>
  <c r="O35" i="1" l="1"/>
  <c r="K42" i="1"/>
  <c r="X43" i="1"/>
  <c r="X45" i="1"/>
  <c r="Y45" i="1"/>
  <c r="C45" i="1"/>
  <c r="E45" i="1"/>
  <c r="G45" i="1"/>
  <c r="I45" i="1"/>
  <c r="K45" i="1"/>
  <c r="M45" i="1"/>
  <c r="O45" i="1"/>
  <c r="S45" i="1"/>
  <c r="Q45" i="1"/>
  <c r="X44" i="1"/>
  <c r="Q44" i="1"/>
  <c r="K44" i="1"/>
  <c r="C44" i="1"/>
  <c r="G44" i="1"/>
  <c r="O44" i="1"/>
  <c r="S44" i="1"/>
  <c r="I44" i="1"/>
  <c r="E44" i="1"/>
  <c r="M44" i="1"/>
  <c r="Y44" i="1"/>
  <c r="O43" i="1"/>
  <c r="C43" i="1"/>
  <c r="E43" i="1"/>
  <c r="I43" i="1"/>
  <c r="G43" i="1"/>
  <c r="M43" i="1"/>
  <c r="K43" i="1"/>
  <c r="Q43" i="1"/>
  <c r="S43" i="1"/>
  <c r="Y43" i="1"/>
  <c r="S42" i="1"/>
  <c r="Y42" i="1"/>
  <c r="O30" i="1"/>
  <c r="Q24" i="1"/>
  <c r="W34" i="1"/>
  <c r="M30" i="1"/>
  <c r="M19" i="1"/>
  <c r="C34" i="1"/>
  <c r="X27" i="1"/>
  <c r="M34" i="1"/>
  <c r="O24" i="1"/>
  <c r="O34" i="1"/>
  <c r="X25" i="1"/>
  <c r="I19" i="1"/>
  <c r="E34" i="1"/>
  <c r="G34" i="1"/>
  <c r="K34" i="1"/>
  <c r="X34" i="1"/>
  <c r="Q25" i="1"/>
  <c r="Y34" i="1"/>
  <c r="W25" i="1"/>
  <c r="Y25" i="1"/>
  <c r="Q29" i="1"/>
  <c r="W29" i="1"/>
  <c r="Y29" i="1"/>
  <c r="O33" i="1"/>
  <c r="Q22" i="1"/>
  <c r="I28" i="1"/>
  <c r="C32" i="1"/>
  <c r="W33" i="1"/>
  <c r="I10" i="1"/>
  <c r="G23" i="1"/>
  <c r="I26" i="1"/>
  <c r="K28" i="1"/>
  <c r="E32" i="1"/>
  <c r="X33" i="1"/>
  <c r="I23" i="1"/>
  <c r="M28" i="1"/>
  <c r="Y33" i="1"/>
  <c r="O37" i="1"/>
  <c r="O10" i="1"/>
  <c r="C19" i="1"/>
  <c r="K23" i="1"/>
  <c r="M26" i="1"/>
  <c r="O28" i="1"/>
  <c r="I30" i="1"/>
  <c r="I32" i="1"/>
  <c r="K35" i="1"/>
  <c r="X29" i="1"/>
  <c r="G17" i="1"/>
  <c r="M33" i="1"/>
  <c r="I17" i="1"/>
  <c r="K37" i="1"/>
  <c r="M37" i="1"/>
  <c r="M10" i="1"/>
  <c r="K26" i="1"/>
  <c r="G32" i="1"/>
  <c r="G19" i="1"/>
  <c r="M23" i="1"/>
  <c r="O26" i="1"/>
  <c r="Q28" i="1"/>
  <c r="K30" i="1"/>
  <c r="K32" i="1"/>
  <c r="M35" i="1"/>
  <c r="M32" i="1"/>
  <c r="I12" i="1"/>
  <c r="X28" i="1"/>
  <c r="O32" i="1"/>
  <c r="M12" i="1"/>
  <c r="Y28" i="1"/>
  <c r="Q30" i="1"/>
  <c r="Q32" i="1"/>
  <c r="C37" i="1"/>
  <c r="M22" i="1"/>
  <c r="E37" i="1"/>
  <c r="X32" i="1"/>
  <c r="O29" i="1"/>
  <c r="G22" i="1"/>
  <c r="X31" i="1"/>
  <c r="K33" i="1"/>
  <c r="O22" i="1"/>
  <c r="Q33" i="1"/>
  <c r="O17" i="1"/>
  <c r="O23" i="1"/>
  <c r="M20" i="1"/>
  <c r="O15" i="1"/>
  <c r="W31" i="1"/>
  <c r="I22" i="1"/>
  <c r="C17" i="1"/>
  <c r="K22" i="1"/>
  <c r="C28" i="1"/>
  <c r="G37" i="1"/>
  <c r="G28" i="1"/>
  <c r="I37" i="1"/>
  <c r="Q26" i="1"/>
  <c r="Q23" i="1"/>
  <c r="O12" i="1"/>
  <c r="W32" i="1"/>
  <c r="I20" i="1"/>
  <c r="O13" i="1"/>
  <c r="O20" i="1"/>
  <c r="O25" i="1"/>
  <c r="W27" i="1"/>
  <c r="I34" i="1"/>
  <c r="Q42" i="1"/>
  <c r="M42" i="1"/>
  <c r="O42" i="1"/>
  <c r="W42" i="1"/>
  <c r="C42" i="1"/>
  <c r="E42" i="1"/>
  <c r="G42" i="1"/>
  <c r="I42" i="1"/>
  <c r="Y41" i="1"/>
  <c r="W41" i="1"/>
  <c r="C41" i="1"/>
  <c r="E41" i="1"/>
  <c r="G41" i="1"/>
  <c r="I41" i="1"/>
  <c r="K41" i="1"/>
  <c r="M41" i="1"/>
  <c r="O41" i="1"/>
  <c r="Q41" i="1"/>
  <c r="Y40" i="1"/>
  <c r="K40" i="1"/>
  <c r="M40" i="1"/>
  <c r="C40" i="1"/>
  <c r="E40" i="1"/>
  <c r="G40" i="1"/>
  <c r="I40" i="1"/>
  <c r="O40" i="1"/>
  <c r="Q40" i="1"/>
  <c r="X40" i="1"/>
  <c r="C38" i="1"/>
  <c r="E38" i="1"/>
  <c r="Y27" i="1"/>
  <c r="Y31" i="1"/>
  <c r="C25" i="1"/>
  <c r="G38" i="1"/>
  <c r="C16" i="1"/>
  <c r="G16" i="1"/>
  <c r="C29" i="1"/>
  <c r="C13" i="1"/>
  <c r="I16" i="1"/>
  <c r="G25" i="1"/>
  <c r="G29" i="1"/>
  <c r="C33" i="1"/>
  <c r="W35" i="1"/>
  <c r="G13" i="1"/>
  <c r="M16" i="1"/>
  <c r="I25" i="1"/>
  <c r="W26" i="1"/>
  <c r="I29" i="1"/>
  <c r="W30" i="1"/>
  <c r="E33" i="1"/>
  <c r="X35" i="1"/>
  <c r="C10" i="1"/>
  <c r="I13" i="1"/>
  <c r="C20" i="1"/>
  <c r="K25" i="1"/>
  <c r="X26" i="1"/>
  <c r="K29" i="1"/>
  <c r="X30" i="1"/>
  <c r="G33" i="1"/>
  <c r="Y35" i="1"/>
  <c r="Y26" i="1"/>
  <c r="Y30" i="1"/>
  <c r="I38" i="1"/>
  <c r="K38" i="1"/>
  <c r="M38" i="1"/>
  <c r="O38" i="1"/>
  <c r="Q38" i="1"/>
  <c r="C36" i="1"/>
  <c r="W38" i="1"/>
  <c r="I14" i="1"/>
  <c r="M14" i="1"/>
  <c r="E36" i="1"/>
  <c r="X38" i="1"/>
  <c r="Q37" i="1"/>
  <c r="W37" i="1"/>
  <c r="G14" i="1"/>
  <c r="C11" i="1"/>
  <c r="C21" i="1"/>
  <c r="G11" i="1"/>
  <c r="G21" i="1"/>
  <c r="I11" i="1"/>
  <c r="C18" i="1"/>
  <c r="I21" i="1"/>
  <c r="G36" i="1"/>
  <c r="I31" i="1"/>
  <c r="O11" i="1"/>
  <c r="I18" i="1"/>
  <c r="G24" i="1"/>
  <c r="C35" i="1"/>
  <c r="M31" i="1"/>
  <c r="E35" i="1"/>
  <c r="M36" i="1"/>
  <c r="X37" i="1"/>
  <c r="C14" i="1"/>
  <c r="C27" i="1"/>
  <c r="C31" i="1"/>
  <c r="G27" i="1"/>
  <c r="G31" i="1"/>
  <c r="G18" i="1"/>
  <c r="M21" i="1"/>
  <c r="C24" i="1"/>
  <c r="I27" i="1"/>
  <c r="I36" i="1"/>
  <c r="C15" i="1"/>
  <c r="O21" i="1"/>
  <c r="K27" i="1"/>
  <c r="K31" i="1"/>
  <c r="K36" i="1"/>
  <c r="G15" i="1"/>
  <c r="M18" i="1"/>
  <c r="I24" i="1"/>
  <c r="M27" i="1"/>
  <c r="C12" i="1"/>
  <c r="I15" i="1"/>
  <c r="K24" i="1"/>
  <c r="C26" i="1"/>
  <c r="O27" i="1"/>
  <c r="C30" i="1"/>
  <c r="O31" i="1"/>
  <c r="G35" i="1"/>
  <c r="O36" i="1"/>
  <c r="I35" i="1"/>
  <c r="Q36" i="1"/>
  <c r="W36" i="1"/>
  <c r="X36" i="1"/>
  <c r="G39" i="1"/>
  <c r="M39" i="1"/>
  <c r="K39" i="1"/>
  <c r="C39" i="1"/>
  <c r="E39" i="1"/>
  <c r="I39" i="1"/>
  <c r="O39" i="1"/>
  <c r="Q39" i="1"/>
  <c r="W39" i="1"/>
  <c r="X39" i="1"/>
</calcChain>
</file>

<file path=xl/sharedStrings.xml><?xml version="1.0" encoding="utf-8"?>
<sst xmlns="http://schemas.openxmlformats.org/spreadsheetml/2006/main" count="21" uniqueCount="20">
  <si>
    <t>总资产</t>
  </si>
  <si>
    <t>存款</t>
  </si>
  <si>
    <t>投资</t>
  </si>
  <si>
    <t>统计日期</t>
  </si>
  <si>
    <t>数据</t>
  </si>
  <si>
    <t>活期</t>
  </si>
  <si>
    <t>应急资金</t>
  </si>
  <si>
    <t>定期</t>
  </si>
  <si>
    <t>外汇</t>
  </si>
  <si>
    <t>储备金</t>
  </si>
  <si>
    <t>稳健型（基金）</t>
  </si>
  <si>
    <t>风险型（基金）</t>
  </si>
  <si>
    <t>股票</t>
  </si>
  <si>
    <t>流动资本:固定资本：投资</t>
  </si>
  <si>
    <t>储备金：稳健仓位：风险仓位(RSR)</t>
  </si>
  <si>
    <t>投资金额</t>
  </si>
  <si>
    <t>仓位</t>
  </si>
  <si>
    <t>公积金</t>
    <phoneticPr fontId="4" type="noConversion"/>
  </si>
  <si>
    <t>保障资产</t>
    <phoneticPr fontId="4" type="noConversion"/>
  </si>
  <si>
    <t>负债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</si>
</sst>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%"/>
    <numFmt numFmtId="178" formatCode="0_ "/>
  </numFmts>
  <fonts count="8" x14ac:knownFonts="1">
    <font>
      <sz val="11"/>
      <color theme="1"/>
      <name val="宋体"/>
      <charset val="134"/>
      <scheme val="minor"/>
    </font>
    <font>
      <sz val="12"/>
      <color theme="0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0"/>
      <name val="黑体"/>
      <family val="3"/>
      <charset val="134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4506668294322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2" xfId="0" applyFill="1" applyBorder="1">
      <alignment vertical="center"/>
    </xf>
    <xf numFmtId="0" fontId="0" fillId="0" borderId="0" xfId="1" applyNumberFormat="1" applyFont="1" applyBorder="1">
      <alignment vertical="center"/>
    </xf>
    <xf numFmtId="176" fontId="0" fillId="0" borderId="2" xfId="0" applyNumberFormat="1" applyBorder="1">
      <alignment vertical="center"/>
    </xf>
    <xf numFmtId="176" fontId="0" fillId="0" borderId="0" xfId="0" applyNumberFormat="1">
      <alignment vertical="center"/>
    </xf>
    <xf numFmtId="177" fontId="0" fillId="0" borderId="2" xfId="0" applyNumberFormat="1" applyBorder="1">
      <alignment vertical="center"/>
    </xf>
    <xf numFmtId="177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0" fontId="0" fillId="0" borderId="2" xfId="0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1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1" applyNumberFormat="1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0"/>
  <sheetViews>
    <sheetView tabSelected="1" zoomScaleNormal="100" workbookViewId="0">
      <pane ySplit="2" topLeftCell="A3" activePane="bottomLeft" state="frozen"/>
      <selection pane="bottomLeft" activeCell="AD10" sqref="AD10"/>
    </sheetView>
  </sheetViews>
  <sheetFormatPr defaultColWidth="9" defaultRowHeight="13.5" x14ac:dyDescent="0.15"/>
  <cols>
    <col min="1" max="1" width="13.125" style="1" customWidth="1"/>
    <col min="2" max="2" width="9.625" style="2" customWidth="1"/>
    <col min="3" max="3" width="9.625" style="1" customWidth="1"/>
    <col min="4" max="4" width="9.625" customWidth="1"/>
    <col min="5" max="5" width="9.625" style="1" customWidth="1"/>
    <col min="6" max="6" width="9.625" customWidth="1"/>
    <col min="7" max="7" width="9.625" style="1" customWidth="1"/>
    <col min="8" max="8" width="9.625" style="3" customWidth="1"/>
    <col min="9" max="9" width="9.625" style="1" customWidth="1"/>
    <col min="10" max="10" width="9.625" style="4" customWidth="1"/>
    <col min="11" max="11" width="9.625" style="1" customWidth="1"/>
    <col min="12" max="12" width="9.625" customWidth="1"/>
    <col min="13" max="13" width="9.625" style="1" customWidth="1"/>
    <col min="14" max="14" width="9.625" customWidth="1"/>
    <col min="15" max="15" width="9.625" style="1" customWidth="1"/>
    <col min="16" max="16" width="9.625" style="5" customWidth="1"/>
    <col min="17" max="17" width="9.625" style="1" customWidth="1"/>
    <col min="18" max="18" width="9.625" style="4" customWidth="1"/>
    <col min="19" max="19" width="9.625" style="1" customWidth="1"/>
    <col min="20" max="20" width="9.625" style="4" customWidth="1"/>
    <col min="21" max="21" width="9.625" style="1" customWidth="1"/>
    <col min="22" max="22" width="13.125" customWidth="1"/>
    <col min="23" max="23" width="11.125" style="6" customWidth="1"/>
    <col min="24" max="24" width="11.125" style="7" customWidth="1"/>
    <col min="25" max="25" width="11.125" style="8" customWidth="1"/>
    <col min="26" max="26" width="11.5" style="6" customWidth="1"/>
    <col min="27" max="27" width="11.125" style="7" customWidth="1"/>
    <col min="28" max="28" width="13.375" style="8" customWidth="1"/>
    <col min="29" max="29" width="11.125" style="9" customWidth="1"/>
    <col min="30" max="30" width="11.125" style="1" customWidth="1"/>
  </cols>
  <sheetData>
    <row r="1" spans="1:30" ht="21.6" customHeight="1" x14ac:dyDescent="0.15">
      <c r="A1" s="39" t="s">
        <v>0</v>
      </c>
      <c r="B1" s="40" t="s">
        <v>1</v>
      </c>
      <c r="C1" s="50"/>
      <c r="D1" s="50"/>
      <c r="E1" s="50"/>
      <c r="F1" s="50"/>
      <c r="G1" s="50"/>
      <c r="H1" s="50"/>
      <c r="I1" s="41"/>
      <c r="J1" s="40" t="s">
        <v>2</v>
      </c>
      <c r="K1" s="50"/>
      <c r="L1" s="50"/>
      <c r="M1" s="50"/>
      <c r="N1" s="50"/>
      <c r="O1" s="50"/>
      <c r="P1" s="50"/>
      <c r="Q1" s="41"/>
      <c r="R1" s="45" t="s">
        <v>18</v>
      </c>
      <c r="S1" s="45"/>
      <c r="T1" s="40" t="s">
        <v>19</v>
      </c>
      <c r="U1" s="47"/>
      <c r="V1" s="48" t="s">
        <v>3</v>
      </c>
      <c r="W1" s="37" t="s">
        <v>4</v>
      </c>
      <c r="X1" s="38"/>
      <c r="Y1" s="38"/>
      <c r="Z1" s="38"/>
      <c r="AA1" s="38"/>
      <c r="AB1" s="38"/>
      <c r="AC1" s="38"/>
      <c r="AD1" s="10"/>
    </row>
    <row r="2" spans="1:30" ht="21.6" customHeight="1" x14ac:dyDescent="0.15">
      <c r="A2" s="39"/>
      <c r="B2" s="39" t="s">
        <v>5</v>
      </c>
      <c r="C2" s="39"/>
      <c r="D2" s="40" t="s">
        <v>6</v>
      </c>
      <c r="E2" s="41"/>
      <c r="F2" s="39" t="s">
        <v>7</v>
      </c>
      <c r="G2" s="39"/>
      <c r="H2" s="40" t="s">
        <v>8</v>
      </c>
      <c r="I2" s="41"/>
      <c r="J2" s="40" t="s">
        <v>9</v>
      </c>
      <c r="K2" s="41"/>
      <c r="L2" s="39" t="s">
        <v>10</v>
      </c>
      <c r="M2" s="39"/>
      <c r="N2" s="39" t="s">
        <v>11</v>
      </c>
      <c r="O2" s="39"/>
      <c r="P2" s="39" t="s">
        <v>12</v>
      </c>
      <c r="Q2" s="39"/>
      <c r="R2" s="46" t="s">
        <v>17</v>
      </c>
      <c r="S2" s="47"/>
      <c r="T2" s="40" t="s">
        <v>19</v>
      </c>
      <c r="U2" s="47"/>
      <c r="V2" s="49"/>
      <c r="W2" s="42" t="s">
        <v>13</v>
      </c>
      <c r="X2" s="43"/>
      <c r="Y2" s="44"/>
      <c r="Z2" s="42" t="s">
        <v>14</v>
      </c>
      <c r="AA2" s="43"/>
      <c r="AB2" s="44"/>
      <c r="AC2" s="11" t="s">
        <v>15</v>
      </c>
      <c r="AD2" s="12" t="s">
        <v>16</v>
      </c>
    </row>
    <row r="3" spans="1:30" ht="21.6" customHeight="1" x14ac:dyDescent="0.15">
      <c r="A3" s="13">
        <v>8130</v>
      </c>
      <c r="B3" s="14">
        <v>1902</v>
      </c>
      <c r="C3" s="15">
        <v>0.23400000000000001</v>
      </c>
      <c r="D3" s="16"/>
      <c r="E3" s="15"/>
      <c r="F3" s="16">
        <v>6100</v>
      </c>
      <c r="G3" s="15">
        <v>0.75</v>
      </c>
      <c r="H3" s="17">
        <v>0</v>
      </c>
      <c r="I3" s="15">
        <v>0</v>
      </c>
      <c r="J3" s="18"/>
      <c r="K3" s="15"/>
      <c r="L3" s="16">
        <v>100</v>
      </c>
      <c r="M3" s="15">
        <v>1.2E-2</v>
      </c>
      <c r="N3" s="16">
        <v>30</v>
      </c>
      <c r="O3" s="15">
        <v>4.0000000000000001E-3</v>
      </c>
      <c r="P3" s="19"/>
      <c r="Q3" s="15"/>
      <c r="R3" s="18"/>
      <c r="S3" s="15"/>
      <c r="T3" s="18"/>
      <c r="U3" s="15"/>
      <c r="V3" s="20">
        <v>45578</v>
      </c>
      <c r="AC3" s="9">
        <f t="shared" ref="AC3:AC24" si="0">J3+L3+N3+P3</f>
        <v>130</v>
      </c>
    </row>
    <row r="4" spans="1:30" ht="21.6" customHeight="1" x14ac:dyDescent="0.15">
      <c r="A4" s="13">
        <v>9127</v>
      </c>
      <c r="B4" s="14">
        <v>2777</v>
      </c>
      <c r="C4" s="15">
        <v>0.30399999999999999</v>
      </c>
      <c r="D4" s="16"/>
      <c r="E4" s="15"/>
      <c r="F4" s="16">
        <v>6100</v>
      </c>
      <c r="G4" s="15">
        <v>0.66800000000000004</v>
      </c>
      <c r="H4" s="17">
        <v>0</v>
      </c>
      <c r="I4" s="15">
        <v>0</v>
      </c>
      <c r="J4" s="18"/>
      <c r="K4" s="15"/>
      <c r="L4" s="16">
        <v>160</v>
      </c>
      <c r="M4" s="15">
        <v>1.7999999999999999E-2</v>
      </c>
      <c r="N4" s="16">
        <v>90</v>
      </c>
      <c r="O4" s="15">
        <v>1E-3</v>
      </c>
      <c r="P4" s="19"/>
      <c r="Q4" s="15"/>
      <c r="R4" s="18"/>
      <c r="S4" s="15"/>
      <c r="T4" s="18"/>
      <c r="U4" s="15"/>
      <c r="V4" s="20">
        <v>45595</v>
      </c>
      <c r="AC4" s="9">
        <f t="shared" si="0"/>
        <v>250</v>
      </c>
    </row>
    <row r="5" spans="1:30" ht="21.6" customHeight="1" x14ac:dyDescent="0.15">
      <c r="A5" s="13">
        <v>9395</v>
      </c>
      <c r="B5" s="14">
        <v>3067</v>
      </c>
      <c r="C5" s="15">
        <v>0.32600000000000001</v>
      </c>
      <c r="D5" s="16"/>
      <c r="E5" s="15"/>
      <c r="F5" s="16">
        <v>5600</v>
      </c>
      <c r="G5" s="15">
        <v>0.59599999999999997</v>
      </c>
      <c r="H5" s="17">
        <v>0</v>
      </c>
      <c r="I5" s="15">
        <v>0</v>
      </c>
      <c r="J5" s="18"/>
      <c r="K5" s="15"/>
      <c r="L5" s="16">
        <v>407</v>
      </c>
      <c r="M5" s="15">
        <v>4.2999999999999997E-2</v>
      </c>
      <c r="N5" s="16">
        <v>321</v>
      </c>
      <c r="O5" s="15">
        <v>3.4000000000000002E-2</v>
      </c>
      <c r="P5" s="19"/>
      <c r="Q5" s="15"/>
      <c r="R5" s="18"/>
      <c r="S5" s="15"/>
      <c r="T5" s="18"/>
      <c r="U5" s="15"/>
      <c r="V5" s="20">
        <v>45627</v>
      </c>
      <c r="AC5" s="9">
        <f t="shared" si="0"/>
        <v>728</v>
      </c>
    </row>
    <row r="6" spans="1:30" ht="21.6" customHeight="1" x14ac:dyDescent="0.15">
      <c r="A6" s="13">
        <v>14989</v>
      </c>
      <c r="B6" s="14">
        <v>8517</v>
      </c>
      <c r="C6" s="15">
        <v>0.56799999999999995</v>
      </c>
      <c r="D6" s="16"/>
      <c r="E6" s="15"/>
      <c r="F6" s="16">
        <v>5600</v>
      </c>
      <c r="G6" s="15">
        <v>0.374</v>
      </c>
      <c r="H6" s="17">
        <v>0</v>
      </c>
      <c r="I6" s="15">
        <v>0</v>
      </c>
      <c r="J6" s="18"/>
      <c r="K6" s="15"/>
      <c r="L6" s="16">
        <v>478</v>
      </c>
      <c r="M6" s="15">
        <v>3.2000000000000001E-2</v>
      </c>
      <c r="N6" s="16">
        <v>394</v>
      </c>
      <c r="O6" s="15">
        <v>2.5999999999999999E-2</v>
      </c>
      <c r="P6" s="19"/>
      <c r="Q6" s="15"/>
      <c r="R6" s="18"/>
      <c r="S6" s="15"/>
      <c r="T6" s="18"/>
      <c r="U6" s="15"/>
      <c r="V6" s="20">
        <v>45632</v>
      </c>
      <c r="AC6" s="9">
        <f t="shared" si="0"/>
        <v>872</v>
      </c>
    </row>
    <row r="7" spans="1:30" ht="21.6" customHeight="1" x14ac:dyDescent="0.15">
      <c r="A7" s="13">
        <v>13626</v>
      </c>
      <c r="B7" s="14">
        <v>7119</v>
      </c>
      <c r="C7" s="15">
        <v>0.52200000000000002</v>
      </c>
      <c r="D7" s="16"/>
      <c r="E7" s="15"/>
      <c r="F7" s="16">
        <v>5100</v>
      </c>
      <c r="G7" s="15">
        <v>0.374</v>
      </c>
      <c r="H7" s="17">
        <v>0</v>
      </c>
      <c r="I7" s="15">
        <v>0</v>
      </c>
      <c r="J7" s="18"/>
      <c r="K7" s="15"/>
      <c r="L7" s="16">
        <v>712</v>
      </c>
      <c r="M7" s="15">
        <v>5.1999999999999998E-2</v>
      </c>
      <c r="N7" s="16">
        <v>695</v>
      </c>
      <c r="O7" s="15">
        <v>5.0999999999999997E-2</v>
      </c>
      <c r="P7" s="19"/>
      <c r="Q7" s="15"/>
      <c r="R7" s="18"/>
      <c r="S7" s="15"/>
      <c r="T7" s="18"/>
      <c r="U7" s="15"/>
      <c r="V7" s="20">
        <v>45659</v>
      </c>
      <c r="AC7" s="9">
        <f t="shared" si="0"/>
        <v>1407</v>
      </c>
    </row>
    <row r="8" spans="1:30" ht="21.6" customHeight="1" x14ac:dyDescent="0.15">
      <c r="A8" s="13">
        <v>13147</v>
      </c>
      <c r="B8" s="14">
        <v>5749</v>
      </c>
      <c r="C8" s="15">
        <v>0.437</v>
      </c>
      <c r="D8" s="16"/>
      <c r="E8" s="15"/>
      <c r="F8" s="16">
        <v>5100</v>
      </c>
      <c r="G8" s="15">
        <v>0.38800000000000001</v>
      </c>
      <c r="H8" s="17">
        <v>0</v>
      </c>
      <c r="I8" s="15">
        <v>0</v>
      </c>
      <c r="J8" s="18"/>
      <c r="K8" s="15"/>
      <c r="L8" s="16">
        <v>1161</v>
      </c>
      <c r="M8" s="15">
        <v>8.7999999999999995E-2</v>
      </c>
      <c r="N8" s="16">
        <v>1137</v>
      </c>
      <c r="O8" s="15">
        <v>8.5999999999999993E-2</v>
      </c>
      <c r="P8" s="19"/>
      <c r="Q8" s="15"/>
      <c r="R8" s="18"/>
      <c r="S8" s="15"/>
      <c r="T8" s="18"/>
      <c r="U8" s="15"/>
      <c r="V8" s="20">
        <v>45702</v>
      </c>
      <c r="AC8" s="9">
        <f t="shared" si="0"/>
        <v>2298</v>
      </c>
    </row>
    <row r="9" spans="1:30" ht="21.6" customHeight="1" x14ac:dyDescent="0.15">
      <c r="A9" s="13">
        <v>18163</v>
      </c>
      <c r="B9" s="14">
        <v>10314</v>
      </c>
      <c r="C9" s="15">
        <v>0.56799999999999995</v>
      </c>
      <c r="D9" s="16"/>
      <c r="E9" s="15"/>
      <c r="F9" s="16">
        <v>5100</v>
      </c>
      <c r="G9" s="15">
        <v>0.28100000000000003</v>
      </c>
      <c r="H9" s="17">
        <v>363</v>
      </c>
      <c r="I9" s="15">
        <v>0.02</v>
      </c>
      <c r="J9" s="18"/>
      <c r="K9" s="15"/>
      <c r="L9" s="16">
        <v>1337</v>
      </c>
      <c r="M9" s="15">
        <v>7.3999999999999996E-2</v>
      </c>
      <c r="N9" s="16">
        <v>1049</v>
      </c>
      <c r="O9" s="15">
        <v>5.8000000000000003E-2</v>
      </c>
      <c r="P9" s="19"/>
      <c r="Q9" s="15"/>
      <c r="R9" s="18"/>
      <c r="S9" s="15"/>
      <c r="T9" s="18"/>
      <c r="U9" s="15"/>
      <c r="V9" s="20">
        <v>45715</v>
      </c>
      <c r="AC9" s="9">
        <f t="shared" si="0"/>
        <v>2386</v>
      </c>
    </row>
    <row r="10" spans="1:30" ht="21.6" customHeight="1" x14ac:dyDescent="0.15">
      <c r="A10" s="13">
        <f t="shared" ref="A10:A20" si="1">SUM(B10,F10,H10,L10,N10)</f>
        <v>18796</v>
      </c>
      <c r="B10" s="14">
        <v>10294</v>
      </c>
      <c r="C10" s="15">
        <f t="shared" ref="C10:C38" si="2">B10/A10</f>
        <v>0.5476697169610556</v>
      </c>
      <c r="D10" s="16"/>
      <c r="E10" s="15"/>
      <c r="F10" s="16">
        <v>5100</v>
      </c>
      <c r="G10" s="15">
        <f t="shared" ref="G10:G32" si="3">F10/A10</f>
        <v>0.27133432645243671</v>
      </c>
      <c r="H10" s="17">
        <v>362</v>
      </c>
      <c r="I10" s="15">
        <f t="shared" ref="I10:I38" si="4">H10/A10</f>
        <v>1.9259416897212174E-2</v>
      </c>
      <c r="J10" s="18"/>
      <c r="K10" s="15"/>
      <c r="L10" s="16">
        <v>1517</v>
      </c>
      <c r="M10" s="15">
        <f t="shared" ref="M10:M38" si="5">L10/A10</f>
        <v>8.070866141732283E-2</v>
      </c>
      <c r="N10" s="16">
        <v>1523</v>
      </c>
      <c r="O10" s="15">
        <f t="shared" ref="O10:O38" si="6">N10/A10</f>
        <v>8.1027878271972761E-2</v>
      </c>
      <c r="P10" s="19"/>
      <c r="Q10" s="15"/>
      <c r="R10" s="18"/>
      <c r="S10" s="15"/>
      <c r="T10" s="18"/>
      <c r="U10" s="15"/>
      <c r="V10" s="20">
        <v>45730</v>
      </c>
      <c r="AC10" s="9">
        <f t="shared" si="0"/>
        <v>3040</v>
      </c>
    </row>
    <row r="11" spans="1:30" ht="21.6" customHeight="1" x14ac:dyDescent="0.15">
      <c r="A11" s="13">
        <f t="shared" si="1"/>
        <v>20942</v>
      </c>
      <c r="B11" s="14">
        <v>13642</v>
      </c>
      <c r="C11" s="15">
        <f t="shared" si="2"/>
        <v>0.65141820265495176</v>
      </c>
      <c r="D11" s="16"/>
      <c r="E11" s="15"/>
      <c r="F11" s="16">
        <v>3600</v>
      </c>
      <c r="G11" s="15">
        <f t="shared" si="3"/>
        <v>0.17190335211536625</v>
      </c>
      <c r="H11" s="17">
        <v>362</v>
      </c>
      <c r="I11" s="15">
        <f t="shared" si="4"/>
        <v>1.7285837073822939E-2</v>
      </c>
      <c r="J11" s="18"/>
      <c r="K11" s="15"/>
      <c r="L11" s="16">
        <v>1703</v>
      </c>
      <c r="M11" s="15">
        <f t="shared" si="5"/>
        <v>8.1319835736796867E-2</v>
      </c>
      <c r="N11" s="16">
        <v>1635</v>
      </c>
      <c r="O11" s="15">
        <f t="shared" si="6"/>
        <v>7.8072772419062172E-2</v>
      </c>
      <c r="P11" s="19"/>
      <c r="Q11" s="15"/>
      <c r="R11" s="18"/>
      <c r="S11" s="15"/>
      <c r="T11" s="18"/>
      <c r="U11" s="15"/>
      <c r="V11" s="20">
        <v>45747</v>
      </c>
      <c r="AC11" s="9">
        <f t="shared" si="0"/>
        <v>3338</v>
      </c>
    </row>
    <row r="12" spans="1:30" ht="21.6" customHeight="1" x14ac:dyDescent="0.15">
      <c r="A12" s="13">
        <f t="shared" si="1"/>
        <v>13932</v>
      </c>
      <c r="B12" s="14">
        <v>4661</v>
      </c>
      <c r="C12" s="15">
        <f t="shared" si="2"/>
        <v>0.33455354579385588</v>
      </c>
      <c r="D12" s="16"/>
      <c r="E12" s="15"/>
      <c r="F12" s="16">
        <v>3600</v>
      </c>
      <c r="G12" s="15">
        <f t="shared" si="3"/>
        <v>0.25839793281653745</v>
      </c>
      <c r="H12" s="17">
        <v>364</v>
      </c>
      <c r="I12" s="15">
        <f t="shared" si="4"/>
        <v>2.6126902095894345E-2</v>
      </c>
      <c r="J12" s="18"/>
      <c r="K12" s="15"/>
      <c r="L12" s="16">
        <v>2066</v>
      </c>
      <c r="M12" s="15">
        <f t="shared" si="5"/>
        <v>0.14829170255526844</v>
      </c>
      <c r="N12" s="16">
        <v>3241</v>
      </c>
      <c r="O12" s="15">
        <f t="shared" si="6"/>
        <v>0.23262991673844388</v>
      </c>
      <c r="P12" s="19"/>
      <c r="Q12" s="15"/>
      <c r="R12" s="18"/>
      <c r="S12" s="15"/>
      <c r="T12" s="18"/>
      <c r="U12" s="15"/>
      <c r="V12" s="20">
        <v>45773</v>
      </c>
      <c r="AC12" s="9">
        <f t="shared" si="0"/>
        <v>5307</v>
      </c>
    </row>
    <row r="13" spans="1:30" ht="21.6" customHeight="1" x14ac:dyDescent="0.15">
      <c r="A13" s="13">
        <f t="shared" si="1"/>
        <v>12586</v>
      </c>
      <c r="B13" s="14">
        <v>2708</v>
      </c>
      <c r="C13" s="15">
        <f t="shared" si="2"/>
        <v>0.2151597012553631</v>
      </c>
      <c r="D13" s="16"/>
      <c r="E13" s="15"/>
      <c r="F13" s="16">
        <v>3600</v>
      </c>
      <c r="G13" s="15">
        <f t="shared" si="3"/>
        <v>0.28603209915779437</v>
      </c>
      <c r="H13" s="17">
        <v>359</v>
      </c>
      <c r="I13" s="15">
        <f t="shared" si="4"/>
        <v>2.8523756554902271E-2</v>
      </c>
      <c r="J13" s="18"/>
      <c r="K13" s="15"/>
      <c r="L13" s="16">
        <v>1805</v>
      </c>
      <c r="M13" s="15">
        <f t="shared" si="5"/>
        <v>0.143413316383283</v>
      </c>
      <c r="N13" s="16">
        <v>4114</v>
      </c>
      <c r="O13" s="15">
        <f t="shared" si="6"/>
        <v>0.32687112664865725</v>
      </c>
      <c r="P13" s="19"/>
      <c r="Q13" s="15"/>
      <c r="R13" s="18"/>
      <c r="S13" s="15"/>
      <c r="T13" s="18"/>
      <c r="U13" s="15"/>
      <c r="V13" s="20">
        <v>45792</v>
      </c>
      <c r="AC13" s="9">
        <f t="shared" si="0"/>
        <v>5919</v>
      </c>
    </row>
    <row r="14" spans="1:30" ht="21.6" customHeight="1" x14ac:dyDescent="0.15">
      <c r="A14" s="13">
        <f t="shared" si="1"/>
        <v>15784</v>
      </c>
      <c r="B14" s="14">
        <v>6421</v>
      </c>
      <c r="C14" s="15">
        <f t="shared" si="2"/>
        <v>0.40680435884439942</v>
      </c>
      <c r="D14" s="16"/>
      <c r="E14" s="15"/>
      <c r="F14" s="16">
        <v>3600</v>
      </c>
      <c r="G14" s="15">
        <f t="shared" si="3"/>
        <v>0.22807906741003547</v>
      </c>
      <c r="H14" s="17">
        <v>359</v>
      </c>
      <c r="I14" s="15">
        <f t="shared" si="4"/>
        <v>2.2744551444500761E-2</v>
      </c>
      <c r="J14" s="18"/>
      <c r="K14" s="15"/>
      <c r="L14" s="16">
        <v>1986</v>
      </c>
      <c r="M14" s="15">
        <f t="shared" si="5"/>
        <v>0.12582361885453625</v>
      </c>
      <c r="N14" s="16">
        <v>3418</v>
      </c>
      <c r="O14" s="15">
        <f t="shared" si="6"/>
        <v>0.21654840344652812</v>
      </c>
      <c r="P14" s="19"/>
      <c r="Q14" s="15"/>
      <c r="R14" s="18"/>
      <c r="S14" s="15"/>
      <c r="T14" s="18"/>
      <c r="U14" s="15"/>
      <c r="V14" s="20">
        <v>45809</v>
      </c>
      <c r="AC14" s="9">
        <f t="shared" si="0"/>
        <v>5404</v>
      </c>
    </row>
    <row r="15" spans="1:30" ht="21.6" customHeight="1" x14ac:dyDescent="0.15">
      <c r="A15" s="13">
        <f t="shared" si="1"/>
        <v>16227</v>
      </c>
      <c r="B15" s="14">
        <v>7986</v>
      </c>
      <c r="C15" s="15">
        <f t="shared" si="2"/>
        <v>0.49214272508781659</v>
      </c>
      <c r="D15" s="16"/>
      <c r="E15" s="15"/>
      <c r="F15" s="16">
        <v>2300</v>
      </c>
      <c r="G15" s="15">
        <f t="shared" si="3"/>
        <v>0.14173907684722992</v>
      </c>
      <c r="H15" s="17">
        <v>358</v>
      </c>
      <c r="I15" s="15">
        <f t="shared" si="4"/>
        <v>2.2061995439699267E-2</v>
      </c>
      <c r="J15" s="18"/>
      <c r="K15" s="15"/>
      <c r="L15" s="16">
        <v>2168</v>
      </c>
      <c r="M15" s="15">
        <f t="shared" si="5"/>
        <v>0.13360448634991065</v>
      </c>
      <c r="N15" s="16">
        <v>3415</v>
      </c>
      <c r="O15" s="15">
        <f t="shared" si="6"/>
        <v>0.21045171627534356</v>
      </c>
      <c r="P15" s="19"/>
      <c r="Q15" s="15"/>
      <c r="R15" s="18"/>
      <c r="S15" s="15"/>
      <c r="T15" s="18"/>
      <c r="U15" s="15"/>
      <c r="V15" s="20">
        <v>45823</v>
      </c>
      <c r="AC15" s="9">
        <f t="shared" si="0"/>
        <v>5583</v>
      </c>
    </row>
    <row r="16" spans="1:30" ht="21.6" customHeight="1" x14ac:dyDescent="0.15">
      <c r="A16" s="13">
        <f t="shared" si="1"/>
        <v>19095</v>
      </c>
      <c r="B16" s="14">
        <v>9574</v>
      </c>
      <c r="C16" s="15">
        <f t="shared" si="2"/>
        <v>0.50138779785284104</v>
      </c>
      <c r="D16" s="16"/>
      <c r="E16" s="15"/>
      <c r="F16" s="16">
        <v>2100</v>
      </c>
      <c r="G16" s="15">
        <f t="shared" si="3"/>
        <v>0.10997643362136685</v>
      </c>
      <c r="H16" s="17">
        <v>357</v>
      </c>
      <c r="I16" s="15">
        <f t="shared" si="4"/>
        <v>1.8695993715632363E-2</v>
      </c>
      <c r="J16" s="18"/>
      <c r="K16" s="15"/>
      <c r="L16" s="16">
        <v>4261</v>
      </c>
      <c r="M16" s="15">
        <f t="shared" si="5"/>
        <v>0.22314742079078292</v>
      </c>
      <c r="N16" s="16">
        <v>2803</v>
      </c>
      <c r="O16" s="15">
        <f t="shared" si="6"/>
        <v>0.14679235401937679</v>
      </c>
      <c r="P16" s="19"/>
      <c r="Q16" s="15"/>
      <c r="R16" s="18"/>
      <c r="S16" s="15"/>
      <c r="T16" s="18"/>
      <c r="U16" s="15"/>
      <c r="V16" s="20">
        <v>45839</v>
      </c>
      <c r="AC16" s="9">
        <f t="shared" si="0"/>
        <v>7064</v>
      </c>
    </row>
    <row r="17" spans="1:30" ht="21.6" customHeight="1" x14ac:dyDescent="0.15">
      <c r="A17" s="13">
        <f t="shared" si="1"/>
        <v>18687</v>
      </c>
      <c r="B17" s="14">
        <v>7446</v>
      </c>
      <c r="C17" s="15">
        <f t="shared" si="2"/>
        <v>0.39845882164071278</v>
      </c>
      <c r="D17" s="16"/>
      <c r="E17" s="15"/>
      <c r="F17" s="16">
        <v>1900</v>
      </c>
      <c r="G17" s="15">
        <f t="shared" si="3"/>
        <v>0.10167496120297533</v>
      </c>
      <c r="H17" s="17">
        <v>358</v>
      </c>
      <c r="I17" s="15">
        <f t="shared" si="4"/>
        <v>1.9157703216139563E-2</v>
      </c>
      <c r="J17" s="18"/>
      <c r="K17" s="15"/>
      <c r="L17" s="16">
        <v>6267</v>
      </c>
      <c r="M17" s="15">
        <f t="shared" si="5"/>
        <v>0.33536683255739286</v>
      </c>
      <c r="N17" s="16">
        <v>2716</v>
      </c>
      <c r="O17" s="15">
        <f t="shared" si="6"/>
        <v>0.14534168138277948</v>
      </c>
      <c r="P17" s="19"/>
      <c r="Q17" s="15"/>
      <c r="R17" s="18"/>
      <c r="S17" s="15"/>
      <c r="T17" s="18"/>
      <c r="U17" s="15"/>
      <c r="V17" s="20">
        <v>45853</v>
      </c>
      <c r="AC17" s="9">
        <f t="shared" si="0"/>
        <v>8983</v>
      </c>
    </row>
    <row r="18" spans="1:30" ht="21.6" customHeight="1" x14ac:dyDescent="0.15">
      <c r="A18" s="13">
        <f t="shared" si="1"/>
        <v>23849</v>
      </c>
      <c r="B18" s="14">
        <v>12512</v>
      </c>
      <c r="C18" s="15">
        <f t="shared" si="2"/>
        <v>0.52463415656840962</v>
      </c>
      <c r="D18" s="16"/>
      <c r="E18" s="15"/>
      <c r="F18" s="16">
        <v>1900</v>
      </c>
      <c r="G18" s="15">
        <f t="shared" si="3"/>
        <v>7.9667910604218212E-2</v>
      </c>
      <c r="H18" s="17">
        <v>358</v>
      </c>
      <c r="I18" s="15">
        <f t="shared" si="4"/>
        <v>1.5011111577005324E-2</v>
      </c>
      <c r="J18" s="18"/>
      <c r="K18" s="15"/>
      <c r="L18" s="16">
        <v>6253</v>
      </c>
      <c r="M18" s="15">
        <f t="shared" si="5"/>
        <v>0.26219128684640863</v>
      </c>
      <c r="N18" s="16">
        <v>2826</v>
      </c>
      <c r="O18" s="15">
        <f t="shared" si="6"/>
        <v>0.11849553440395824</v>
      </c>
      <c r="P18" s="19"/>
      <c r="Q18" s="15"/>
      <c r="R18" s="18"/>
      <c r="S18" s="15"/>
      <c r="T18" s="18"/>
      <c r="U18" s="15"/>
      <c r="V18" s="20">
        <v>45870</v>
      </c>
      <c r="AC18" s="9">
        <f t="shared" si="0"/>
        <v>9079</v>
      </c>
    </row>
    <row r="19" spans="1:30" ht="21.6" customHeight="1" x14ac:dyDescent="0.15">
      <c r="A19" s="13">
        <f t="shared" si="1"/>
        <v>23497</v>
      </c>
      <c r="B19" s="14">
        <v>11837</v>
      </c>
      <c r="C19" s="15">
        <f t="shared" si="2"/>
        <v>0.50376643826871514</v>
      </c>
      <c r="D19" s="16"/>
      <c r="E19" s="15"/>
      <c r="F19" s="16">
        <v>1900</v>
      </c>
      <c r="G19" s="15">
        <f t="shared" si="3"/>
        <v>8.0861386559986384E-2</v>
      </c>
      <c r="H19" s="17">
        <v>358</v>
      </c>
      <c r="I19" s="15">
        <f t="shared" si="4"/>
        <v>1.5235987572881644E-2</v>
      </c>
      <c r="J19" s="18"/>
      <c r="K19" s="15"/>
      <c r="L19" s="16">
        <v>6264</v>
      </c>
      <c r="M19" s="15">
        <f t="shared" si="5"/>
        <v>0.26658722390092354</v>
      </c>
      <c r="N19" s="16">
        <v>3138</v>
      </c>
      <c r="O19" s="15">
        <f t="shared" si="6"/>
        <v>0.13354896369749331</v>
      </c>
      <c r="P19" s="19"/>
      <c r="Q19" s="15"/>
      <c r="R19" s="18"/>
      <c r="S19" s="15"/>
      <c r="T19" s="18"/>
      <c r="U19" s="15"/>
      <c r="V19" s="20">
        <v>45884</v>
      </c>
      <c r="AC19" s="9">
        <f t="shared" si="0"/>
        <v>9402</v>
      </c>
    </row>
    <row r="20" spans="1:30" ht="21.6" customHeight="1" x14ac:dyDescent="0.15">
      <c r="A20" s="13">
        <f t="shared" si="1"/>
        <v>22261</v>
      </c>
      <c r="B20" s="14">
        <v>11649</v>
      </c>
      <c r="C20" s="15">
        <f t="shared" si="2"/>
        <v>0.52329185571178294</v>
      </c>
      <c r="D20" s="16"/>
      <c r="E20" s="15"/>
      <c r="F20" s="16">
        <v>1900</v>
      </c>
      <c r="G20" s="15">
        <f t="shared" si="3"/>
        <v>8.5351062396118768E-2</v>
      </c>
      <c r="H20" s="17">
        <v>356</v>
      </c>
      <c r="I20" s="15">
        <f t="shared" si="4"/>
        <v>1.5992093796325411E-2</v>
      </c>
      <c r="J20" s="18"/>
      <c r="K20" s="15"/>
      <c r="L20" s="16">
        <v>4215</v>
      </c>
      <c r="M20" s="15">
        <f t="shared" si="5"/>
        <v>0.18934459368402137</v>
      </c>
      <c r="N20" s="16">
        <v>4141</v>
      </c>
      <c r="O20" s="15">
        <f t="shared" si="6"/>
        <v>0.1860203944117515</v>
      </c>
      <c r="P20" s="19"/>
      <c r="Q20" s="15"/>
      <c r="R20" s="18"/>
      <c r="S20" s="15"/>
      <c r="T20" s="18"/>
      <c r="U20" s="15"/>
      <c r="V20" s="20">
        <v>45901</v>
      </c>
      <c r="AC20" s="9">
        <f t="shared" si="0"/>
        <v>8356</v>
      </c>
    </row>
    <row r="21" spans="1:30" ht="21.6" customHeight="1" x14ac:dyDescent="0.15">
      <c r="A21" s="21">
        <f>SUM(B21,F21,H21,L21,N21,P21)</f>
        <v>21468</v>
      </c>
      <c r="B21" s="14">
        <v>9955</v>
      </c>
      <c r="C21" s="15">
        <f t="shared" si="2"/>
        <v>0.46371343394820197</v>
      </c>
      <c r="D21" s="16"/>
      <c r="E21" s="15"/>
      <c r="F21" s="16">
        <v>1900</v>
      </c>
      <c r="G21" s="15">
        <f t="shared" si="3"/>
        <v>8.8503819638531767E-2</v>
      </c>
      <c r="H21" s="17">
        <v>356</v>
      </c>
      <c r="I21" s="15">
        <f t="shared" si="4"/>
        <v>1.6582820942798584E-2</v>
      </c>
      <c r="J21" s="18"/>
      <c r="K21" s="15"/>
      <c r="L21" s="16">
        <v>4203</v>
      </c>
      <c r="M21" s="15">
        <f t="shared" si="5"/>
        <v>0.19577976523197316</v>
      </c>
      <c r="N21" s="16">
        <v>5054</v>
      </c>
      <c r="O21" s="15">
        <f t="shared" si="6"/>
        <v>0.23542016023849449</v>
      </c>
      <c r="P21" s="19">
        <v>0</v>
      </c>
      <c r="Q21" s="15">
        <f t="shared" ref="Q21:Q38" si="7">P21/A21</f>
        <v>0</v>
      </c>
      <c r="S21" s="15"/>
      <c r="T21" s="18"/>
      <c r="U21" s="15"/>
      <c r="V21" s="20">
        <v>45915</v>
      </c>
      <c r="AC21" s="9">
        <f t="shared" si="0"/>
        <v>9257</v>
      </c>
    </row>
    <row r="22" spans="1:30" ht="21.6" customHeight="1" x14ac:dyDescent="0.15">
      <c r="A22" s="21">
        <f t="shared" ref="A22:A31" si="8">SUM(B22,F22,H22,J22,L22,N22,P22)</f>
        <v>21356</v>
      </c>
      <c r="B22" s="14">
        <v>3229</v>
      </c>
      <c r="C22" s="15">
        <f t="shared" si="2"/>
        <v>0.15119872635324969</v>
      </c>
      <c r="D22" s="16"/>
      <c r="E22" s="15"/>
      <c r="F22" s="16">
        <v>1000</v>
      </c>
      <c r="G22" s="15">
        <f t="shared" si="3"/>
        <v>4.6825248173815323E-2</v>
      </c>
      <c r="H22" s="17">
        <v>355</v>
      </c>
      <c r="I22" s="15">
        <f t="shared" si="4"/>
        <v>1.6622963101704438E-2</v>
      </c>
      <c r="J22" s="18">
        <v>7282</v>
      </c>
      <c r="K22" s="15">
        <f t="shared" ref="K22:K38" si="9">J22/A22</f>
        <v>0.34098145720172318</v>
      </c>
      <c r="L22" s="16">
        <v>4191</v>
      </c>
      <c r="M22" s="15">
        <f t="shared" si="5"/>
        <v>0.19624461509646002</v>
      </c>
      <c r="N22" s="16">
        <v>4899</v>
      </c>
      <c r="O22" s="15">
        <f t="shared" si="6"/>
        <v>0.22939689080352127</v>
      </c>
      <c r="P22" s="19">
        <v>400</v>
      </c>
      <c r="Q22" s="15">
        <f t="shared" si="7"/>
        <v>1.8730099269526127E-2</v>
      </c>
      <c r="R22" s="18"/>
      <c r="S22" s="15"/>
      <c r="T22" s="18"/>
      <c r="U22" s="15"/>
      <c r="V22" s="20">
        <v>45931</v>
      </c>
      <c r="AC22" s="9">
        <f t="shared" si="0"/>
        <v>16772</v>
      </c>
    </row>
    <row r="23" spans="1:30" ht="21.6" customHeight="1" x14ac:dyDescent="0.15">
      <c r="A23" s="21">
        <f t="shared" si="8"/>
        <v>21809</v>
      </c>
      <c r="B23" s="14">
        <v>4121</v>
      </c>
      <c r="C23" s="15">
        <f t="shared" si="2"/>
        <v>0.18895868678068686</v>
      </c>
      <c r="D23" s="16"/>
      <c r="E23" s="15"/>
      <c r="F23" s="16">
        <v>1000</v>
      </c>
      <c r="G23" s="15">
        <f t="shared" si="3"/>
        <v>4.5852629648310328E-2</v>
      </c>
      <c r="H23" s="17">
        <v>356</v>
      </c>
      <c r="I23" s="15">
        <f t="shared" si="4"/>
        <v>1.6323536154798479E-2</v>
      </c>
      <c r="J23" s="18">
        <v>5690</v>
      </c>
      <c r="K23" s="15">
        <f t="shared" si="9"/>
        <v>0.26090146269888576</v>
      </c>
      <c r="L23" s="16">
        <v>4202</v>
      </c>
      <c r="M23" s="15">
        <f t="shared" si="5"/>
        <v>0.1926727497822</v>
      </c>
      <c r="N23" s="16">
        <v>6040</v>
      </c>
      <c r="O23" s="15">
        <f t="shared" si="6"/>
        <v>0.27694988307579438</v>
      </c>
      <c r="P23" s="19">
        <v>400</v>
      </c>
      <c r="Q23" s="15">
        <f t="shared" si="7"/>
        <v>1.8341051859324133E-2</v>
      </c>
      <c r="R23" s="18"/>
      <c r="S23" s="15"/>
      <c r="T23" s="18"/>
      <c r="U23" s="15"/>
      <c r="V23" s="20">
        <v>45945</v>
      </c>
      <c r="AC23" s="9">
        <f t="shared" si="0"/>
        <v>16332</v>
      </c>
    </row>
    <row r="24" spans="1:30" ht="21.6" customHeight="1" x14ac:dyDescent="0.15">
      <c r="A24" s="21">
        <f t="shared" si="8"/>
        <v>20595</v>
      </c>
      <c r="B24" s="22">
        <v>2797</v>
      </c>
      <c r="C24" s="15">
        <f t="shared" si="2"/>
        <v>0.13580966253945131</v>
      </c>
      <c r="D24" s="16"/>
      <c r="E24" s="15"/>
      <c r="F24" s="23">
        <v>1000</v>
      </c>
      <c r="G24" s="15">
        <f t="shared" si="3"/>
        <v>4.8555474629764506E-2</v>
      </c>
      <c r="H24" s="24">
        <v>354</v>
      </c>
      <c r="I24" s="15">
        <f t="shared" si="4"/>
        <v>1.7188638018936636E-2</v>
      </c>
      <c r="J24" s="25">
        <v>5786</v>
      </c>
      <c r="K24" s="15">
        <f t="shared" si="9"/>
        <v>0.28094197620781741</v>
      </c>
      <c r="L24" s="23">
        <v>4218</v>
      </c>
      <c r="M24" s="15">
        <f t="shared" si="5"/>
        <v>0.20480699198834668</v>
      </c>
      <c r="N24" s="23">
        <v>6040</v>
      </c>
      <c r="O24" s="15">
        <f t="shared" si="6"/>
        <v>0.29327506676377763</v>
      </c>
      <c r="P24" s="26">
        <v>400</v>
      </c>
      <c r="Q24" s="15">
        <f t="shared" si="7"/>
        <v>1.9422189851905802E-2</v>
      </c>
      <c r="R24" s="18"/>
      <c r="S24" s="15"/>
      <c r="T24" s="18"/>
      <c r="U24" s="15"/>
      <c r="V24" s="27">
        <v>45962</v>
      </c>
      <c r="AC24" s="9">
        <f t="shared" si="0"/>
        <v>16444</v>
      </c>
    </row>
    <row r="25" spans="1:30" ht="21.6" customHeight="1" x14ac:dyDescent="0.15">
      <c r="A25" s="21">
        <f t="shared" si="8"/>
        <v>24091</v>
      </c>
      <c r="B25" s="22">
        <v>6176</v>
      </c>
      <c r="C25" s="15">
        <f t="shared" si="2"/>
        <v>0.25636129674982361</v>
      </c>
      <c r="D25" s="16"/>
      <c r="E25" s="15"/>
      <c r="F25" s="23">
        <v>1000</v>
      </c>
      <c r="G25" s="15">
        <f t="shared" si="3"/>
        <v>4.1509277323481801E-2</v>
      </c>
      <c r="H25" s="24">
        <v>354</v>
      </c>
      <c r="I25" s="15">
        <f t="shared" si="4"/>
        <v>1.4694284172512556E-2</v>
      </c>
      <c r="J25" s="25">
        <v>5660</v>
      </c>
      <c r="K25" s="15">
        <f t="shared" si="9"/>
        <v>0.23494250965090699</v>
      </c>
      <c r="L25" s="23">
        <v>4227</v>
      </c>
      <c r="M25" s="15">
        <f t="shared" si="5"/>
        <v>0.17545971524635756</v>
      </c>
      <c r="N25" s="23">
        <v>6274</v>
      </c>
      <c r="O25" s="15">
        <f t="shared" si="6"/>
        <v>0.26042920592752478</v>
      </c>
      <c r="P25" s="26">
        <v>400</v>
      </c>
      <c r="Q25" s="15">
        <f t="shared" si="7"/>
        <v>1.660371092939272E-2</v>
      </c>
      <c r="R25" s="18"/>
      <c r="S25" s="15"/>
      <c r="T25" s="18"/>
      <c r="U25" s="15"/>
      <c r="V25" s="27">
        <v>45976</v>
      </c>
      <c r="W25" s="28">
        <f t="shared" ref="W25:W31" si="10">B25/A25</f>
        <v>0.25636129674982361</v>
      </c>
      <c r="X25" s="29">
        <f t="shared" ref="X25:X32" si="11">(F25+H25)/A25</f>
        <v>5.6203561495994356E-2</v>
      </c>
      <c r="Y25" s="30">
        <f t="shared" ref="Y25:Y32" si="12">(J25+L25+N25+P25)/A25</f>
        <v>0.68743514175418208</v>
      </c>
      <c r="Z25" s="29">
        <f t="shared" ref="Z25:Z30" si="13">J25/(J25+L25+N25+P25)</f>
        <v>0.34176680152164723</v>
      </c>
      <c r="AA25" s="29">
        <f t="shared" ref="AA25:AA30" si="14">(L25)/(J25+L25+N25+P25)</f>
        <v>0.25523821025300403</v>
      </c>
      <c r="AB25" s="31">
        <f t="shared" ref="AB25:AB30" si="15">(N25+P25)/(J25+L25+N25+P25)</f>
        <v>0.40299498822534874</v>
      </c>
      <c r="AC25" s="9">
        <f t="shared" ref="AC25:AC30" si="16">J25+L25+N25+P25</f>
        <v>16561</v>
      </c>
      <c r="AD25" s="32"/>
    </row>
    <row r="26" spans="1:30" ht="21.6" customHeight="1" x14ac:dyDescent="0.15">
      <c r="A26" s="21">
        <f t="shared" si="8"/>
        <v>22164</v>
      </c>
      <c r="B26" s="22">
        <v>5343</v>
      </c>
      <c r="C26" s="15">
        <f t="shared" si="2"/>
        <v>0.24106659447753112</v>
      </c>
      <c r="D26" s="16"/>
      <c r="E26" s="15"/>
      <c r="F26" s="23">
        <v>0</v>
      </c>
      <c r="G26" s="15">
        <f t="shared" si="3"/>
        <v>0</v>
      </c>
      <c r="H26" s="24">
        <v>353</v>
      </c>
      <c r="I26" s="15">
        <f t="shared" si="4"/>
        <v>1.592672802743187E-2</v>
      </c>
      <c r="J26" s="25">
        <v>5467</v>
      </c>
      <c r="K26" s="15">
        <f t="shared" si="9"/>
        <v>0.24666125248150153</v>
      </c>
      <c r="L26" s="23">
        <v>4221</v>
      </c>
      <c r="M26" s="15">
        <f t="shared" si="5"/>
        <v>0.19044396318354087</v>
      </c>
      <c r="N26" s="23">
        <v>6380</v>
      </c>
      <c r="O26" s="15">
        <f t="shared" si="6"/>
        <v>0.28785417794621909</v>
      </c>
      <c r="P26" s="26">
        <v>400</v>
      </c>
      <c r="Q26" s="15">
        <f t="shared" si="7"/>
        <v>1.8047283883775491E-2</v>
      </c>
      <c r="R26" s="18"/>
      <c r="S26" s="15"/>
      <c r="T26" s="18"/>
      <c r="U26" s="15"/>
      <c r="V26" s="27">
        <v>45992</v>
      </c>
      <c r="W26" s="28">
        <f t="shared" si="10"/>
        <v>0.24106659447753112</v>
      </c>
      <c r="X26" s="29">
        <f t="shared" si="11"/>
        <v>1.592672802743187E-2</v>
      </c>
      <c r="Y26" s="30">
        <f t="shared" si="12"/>
        <v>0.74300667749503702</v>
      </c>
      <c r="Z26" s="29">
        <f t="shared" si="13"/>
        <v>0.33197716784066067</v>
      </c>
      <c r="AA26" s="29">
        <f t="shared" si="14"/>
        <v>0.25631527811513238</v>
      </c>
      <c r="AB26" s="31">
        <f t="shared" si="15"/>
        <v>0.41170755404420695</v>
      </c>
      <c r="AC26" s="9">
        <f t="shared" si="16"/>
        <v>16468</v>
      </c>
      <c r="AD26" s="32"/>
    </row>
    <row r="27" spans="1:30" ht="21.6" customHeight="1" x14ac:dyDescent="0.15">
      <c r="A27" s="21">
        <f t="shared" si="8"/>
        <v>25939</v>
      </c>
      <c r="B27" s="22">
        <v>8667</v>
      </c>
      <c r="C27" s="15">
        <f t="shared" si="2"/>
        <v>0.3341300744053356</v>
      </c>
      <c r="D27" s="16"/>
      <c r="E27" s="15"/>
      <c r="F27" s="23">
        <v>0</v>
      </c>
      <c r="G27" s="15">
        <f t="shared" si="3"/>
        <v>0</v>
      </c>
      <c r="H27" s="24">
        <v>352</v>
      </c>
      <c r="I27" s="15">
        <f t="shared" si="4"/>
        <v>1.3570299548941747E-2</v>
      </c>
      <c r="J27" s="25">
        <v>10070</v>
      </c>
      <c r="K27" s="15">
        <f t="shared" si="9"/>
        <v>0.38821851266432783</v>
      </c>
      <c r="L27" s="23">
        <v>0</v>
      </c>
      <c r="M27" s="15">
        <f t="shared" si="5"/>
        <v>0</v>
      </c>
      <c r="N27" s="23">
        <v>6450</v>
      </c>
      <c r="O27" s="15">
        <f t="shared" si="6"/>
        <v>0.24866031843941555</v>
      </c>
      <c r="P27" s="26">
        <v>400</v>
      </c>
      <c r="Q27" s="15">
        <f t="shared" si="7"/>
        <v>1.5420794941979258E-2</v>
      </c>
      <c r="R27" s="18"/>
      <c r="S27" s="15"/>
      <c r="T27" s="18"/>
      <c r="U27" s="15"/>
      <c r="V27" s="27">
        <v>46006</v>
      </c>
      <c r="W27" s="28">
        <f t="shared" si="10"/>
        <v>0.3341300744053356</v>
      </c>
      <c r="X27" s="29">
        <f t="shared" si="11"/>
        <v>1.3570299548941747E-2</v>
      </c>
      <c r="Y27" s="30">
        <f t="shared" si="12"/>
        <v>0.65229962604572267</v>
      </c>
      <c r="Z27" s="29">
        <f t="shared" si="13"/>
        <v>0.59515366430260053</v>
      </c>
      <c r="AA27" s="29">
        <f t="shared" si="14"/>
        <v>0</v>
      </c>
      <c r="AB27" s="31">
        <f t="shared" si="15"/>
        <v>0.40484633569739953</v>
      </c>
      <c r="AC27" s="9">
        <f t="shared" si="16"/>
        <v>16920</v>
      </c>
    </row>
    <row r="28" spans="1:30" ht="21.6" customHeight="1" x14ac:dyDescent="0.15">
      <c r="A28" s="21">
        <f t="shared" si="8"/>
        <v>25842</v>
      </c>
      <c r="B28" s="22">
        <v>5093</v>
      </c>
      <c r="C28" s="15">
        <f t="shared" si="2"/>
        <v>0.19708226917421251</v>
      </c>
      <c r="D28" s="16"/>
      <c r="E28" s="15"/>
      <c r="F28" s="23">
        <v>0</v>
      </c>
      <c r="G28" s="15">
        <f t="shared" si="3"/>
        <v>0</v>
      </c>
      <c r="H28" s="24">
        <v>349</v>
      </c>
      <c r="I28" s="15">
        <f t="shared" si="4"/>
        <v>1.3505146660475196E-2</v>
      </c>
      <c r="J28" s="25">
        <v>13131</v>
      </c>
      <c r="K28" s="15">
        <f t="shared" si="9"/>
        <v>0.50812630601346642</v>
      </c>
      <c r="L28" s="23">
        <v>0</v>
      </c>
      <c r="M28" s="15">
        <f t="shared" si="5"/>
        <v>0</v>
      </c>
      <c r="N28" s="23">
        <v>6869</v>
      </c>
      <c r="O28" s="15">
        <f t="shared" si="6"/>
        <v>0.26580760003095738</v>
      </c>
      <c r="P28" s="26">
        <v>400</v>
      </c>
      <c r="Q28" s="15">
        <f t="shared" si="7"/>
        <v>1.5478678120888476E-2</v>
      </c>
      <c r="R28" s="18"/>
      <c r="S28" s="15"/>
      <c r="T28" s="18"/>
      <c r="U28" s="15"/>
      <c r="V28" s="27">
        <v>46023</v>
      </c>
      <c r="W28" s="28">
        <f t="shared" si="10"/>
        <v>0.19708226917421251</v>
      </c>
      <c r="X28" s="29">
        <f t="shared" si="11"/>
        <v>1.3505146660475196E-2</v>
      </c>
      <c r="Y28" s="30">
        <f t="shared" si="12"/>
        <v>0.78941258416531224</v>
      </c>
      <c r="Z28" s="29">
        <f t="shared" si="13"/>
        <v>0.64367647058823529</v>
      </c>
      <c r="AA28" s="29">
        <f t="shared" si="14"/>
        <v>0</v>
      </c>
      <c r="AB28" s="31">
        <f t="shared" si="15"/>
        <v>0.35632352941176471</v>
      </c>
      <c r="AC28" s="9">
        <f t="shared" si="16"/>
        <v>20400</v>
      </c>
    </row>
    <row r="29" spans="1:30" ht="21.6" customHeight="1" x14ac:dyDescent="0.15">
      <c r="A29" s="21">
        <f t="shared" si="8"/>
        <v>27323</v>
      </c>
      <c r="B29" s="22">
        <v>5286</v>
      </c>
      <c r="C29" s="15">
        <f t="shared" si="2"/>
        <v>0.19346338249826153</v>
      </c>
      <c r="D29" s="16"/>
      <c r="E29" s="15"/>
      <c r="F29" s="23">
        <v>0</v>
      </c>
      <c r="G29" s="15">
        <f t="shared" si="3"/>
        <v>0</v>
      </c>
      <c r="H29" s="24">
        <v>1391</v>
      </c>
      <c r="I29" s="15">
        <f t="shared" si="4"/>
        <v>5.0909490173114226E-2</v>
      </c>
      <c r="J29" s="25">
        <v>12835</v>
      </c>
      <c r="K29" s="15">
        <f t="shared" si="9"/>
        <v>0.46975075943344435</v>
      </c>
      <c r="L29" s="23">
        <v>0</v>
      </c>
      <c r="M29" s="15">
        <f t="shared" si="5"/>
        <v>0</v>
      </c>
      <c r="N29" s="23">
        <v>7411</v>
      </c>
      <c r="O29" s="15">
        <f t="shared" si="6"/>
        <v>0.27123668704022252</v>
      </c>
      <c r="P29" s="26">
        <v>400</v>
      </c>
      <c r="Q29" s="15">
        <f t="shared" si="7"/>
        <v>1.4639680854957362E-2</v>
      </c>
      <c r="R29" s="18"/>
      <c r="S29" s="15"/>
      <c r="T29" s="18"/>
      <c r="U29" s="15"/>
      <c r="V29" s="27">
        <v>46037</v>
      </c>
      <c r="W29" s="28">
        <f t="shared" si="10"/>
        <v>0.19346338249826153</v>
      </c>
      <c r="X29" s="29">
        <f t="shared" si="11"/>
        <v>5.0909490173114226E-2</v>
      </c>
      <c r="Y29" s="30">
        <f t="shared" si="12"/>
        <v>0.75562712732862425</v>
      </c>
      <c r="Z29" s="29">
        <f t="shared" si="13"/>
        <v>0.62167005715392809</v>
      </c>
      <c r="AA29" s="29">
        <f t="shared" si="14"/>
        <v>0</v>
      </c>
      <c r="AB29" s="31">
        <f t="shared" si="15"/>
        <v>0.37832994284607185</v>
      </c>
      <c r="AC29" s="25">
        <f t="shared" si="16"/>
        <v>20646</v>
      </c>
    </row>
    <row r="30" spans="1:30" ht="21.6" customHeight="1" x14ac:dyDescent="0.15">
      <c r="A30" s="21">
        <f t="shared" si="8"/>
        <v>25699</v>
      </c>
      <c r="B30" s="22">
        <v>3500</v>
      </c>
      <c r="C30" s="15">
        <f t="shared" si="2"/>
        <v>0.1361920697303397</v>
      </c>
      <c r="D30" s="16"/>
      <c r="E30" s="15"/>
      <c r="F30" s="23">
        <v>0</v>
      </c>
      <c r="G30" s="15">
        <f t="shared" si="3"/>
        <v>0</v>
      </c>
      <c r="H30" s="24">
        <v>1388</v>
      </c>
      <c r="I30" s="15">
        <f t="shared" si="4"/>
        <v>5.4009883653060434E-2</v>
      </c>
      <c r="J30" s="18">
        <v>12741</v>
      </c>
      <c r="K30" s="15">
        <f t="shared" si="9"/>
        <v>0.49577804583835949</v>
      </c>
      <c r="L30" s="23">
        <v>0</v>
      </c>
      <c r="M30" s="15">
        <f t="shared" si="5"/>
        <v>0</v>
      </c>
      <c r="N30" s="23">
        <v>7670</v>
      </c>
      <c r="O30" s="15">
        <f t="shared" si="6"/>
        <v>0.29845519280905874</v>
      </c>
      <c r="P30" s="26">
        <v>400</v>
      </c>
      <c r="Q30" s="15">
        <f t="shared" si="7"/>
        <v>1.5564807969181681E-2</v>
      </c>
      <c r="R30" s="18"/>
      <c r="S30" s="15"/>
      <c r="T30" s="18"/>
      <c r="U30" s="15"/>
      <c r="V30" s="27">
        <v>46054</v>
      </c>
      <c r="W30" s="28">
        <f t="shared" si="10"/>
        <v>0.1361920697303397</v>
      </c>
      <c r="X30" s="29">
        <f t="shared" si="11"/>
        <v>5.4009883653060434E-2</v>
      </c>
      <c r="Y30" s="30">
        <f t="shared" si="12"/>
        <v>0.80979804661659982</v>
      </c>
      <c r="Z30" s="29">
        <f t="shared" si="13"/>
        <v>0.61222430445437515</v>
      </c>
      <c r="AA30" s="29">
        <f t="shared" si="14"/>
        <v>0</v>
      </c>
      <c r="AB30" s="31">
        <f t="shared" si="15"/>
        <v>0.38777569554562491</v>
      </c>
      <c r="AC30" s="25">
        <f t="shared" si="16"/>
        <v>20811</v>
      </c>
    </row>
    <row r="31" spans="1:30" ht="21.6" customHeight="1" x14ac:dyDescent="0.15">
      <c r="A31" s="21">
        <f t="shared" si="8"/>
        <v>28281</v>
      </c>
      <c r="B31" s="22">
        <v>1573</v>
      </c>
      <c r="C31" s="15">
        <f t="shared" si="2"/>
        <v>5.5620381174640215E-2</v>
      </c>
      <c r="D31" s="16"/>
      <c r="E31" s="15"/>
      <c r="F31" s="23">
        <v>4700</v>
      </c>
      <c r="G31" s="15">
        <f t="shared" si="3"/>
        <v>0.1661893143806796</v>
      </c>
      <c r="H31" s="24">
        <v>1378</v>
      </c>
      <c r="I31" s="15">
        <f t="shared" si="4"/>
        <v>4.8725292599271594E-2</v>
      </c>
      <c r="J31" s="25">
        <v>12285</v>
      </c>
      <c r="K31" s="15">
        <f t="shared" si="9"/>
        <v>0.43439058024822319</v>
      </c>
      <c r="L31" s="23">
        <v>0</v>
      </c>
      <c r="M31" s="15">
        <f t="shared" si="5"/>
        <v>0</v>
      </c>
      <c r="N31" s="23">
        <v>7945</v>
      </c>
      <c r="O31" s="15">
        <f t="shared" si="6"/>
        <v>0.28093066016053181</v>
      </c>
      <c r="P31" s="26">
        <v>400</v>
      </c>
      <c r="Q31" s="15">
        <f t="shared" si="7"/>
        <v>1.4143771436653584E-2</v>
      </c>
      <c r="R31" s="18"/>
      <c r="S31" s="15"/>
      <c r="T31" s="18"/>
      <c r="U31" s="15"/>
      <c r="V31" s="27">
        <v>46068</v>
      </c>
      <c r="W31" s="28">
        <f t="shared" si="10"/>
        <v>5.5620381174640215E-2</v>
      </c>
      <c r="X31" s="29">
        <f t="shared" si="11"/>
        <v>0.21491460697995121</v>
      </c>
      <c r="Y31" s="30">
        <f t="shared" si="12"/>
        <v>0.72946501184540857</v>
      </c>
      <c r="Z31" s="29">
        <f t="shared" ref="Z31" si="17">J31/(J31+L31+N31+P31)</f>
        <v>0.59549200193892393</v>
      </c>
      <c r="AA31" s="29">
        <f t="shared" ref="AA31" si="18">(L31)/(J31+L31+N31+P31)</f>
        <v>0</v>
      </c>
      <c r="AB31" s="31">
        <f t="shared" ref="AB31" si="19">(N31+P31)/(J31+L31+N31+P31)</f>
        <v>0.40450799806107612</v>
      </c>
      <c r="AC31" s="25">
        <f t="shared" ref="AC31" si="20">J31+L31+N31+P31</f>
        <v>20630</v>
      </c>
    </row>
    <row r="32" spans="1:30" ht="21.6" customHeight="1" x14ac:dyDescent="0.15">
      <c r="A32" s="21">
        <f t="shared" ref="A32:A38" si="21">SUM(B32,D32,F32,H32,J32,L32,N32,P32)</f>
        <v>32195</v>
      </c>
      <c r="B32" s="22">
        <v>1348</v>
      </c>
      <c r="C32" s="15">
        <f t="shared" si="2"/>
        <v>4.1869855567634728E-2</v>
      </c>
      <c r="D32" s="16">
        <v>4000</v>
      </c>
      <c r="E32" s="15">
        <f t="shared" ref="E32:E38" si="22">D32/A32</f>
        <v>0.12424289485945023</v>
      </c>
      <c r="F32" s="23">
        <v>4700</v>
      </c>
      <c r="G32" s="15">
        <f t="shared" si="3"/>
        <v>0.145985401459854</v>
      </c>
      <c r="H32" s="24">
        <v>1369</v>
      </c>
      <c r="I32" s="15">
        <f t="shared" si="4"/>
        <v>4.2522130765646843E-2</v>
      </c>
      <c r="J32" s="25">
        <v>11847</v>
      </c>
      <c r="K32" s="15">
        <f t="shared" si="9"/>
        <v>0.36797639384997671</v>
      </c>
      <c r="L32" s="23">
        <v>0</v>
      </c>
      <c r="M32" s="15">
        <f t="shared" si="5"/>
        <v>0</v>
      </c>
      <c r="N32" s="23">
        <v>8531</v>
      </c>
      <c r="O32" s="15">
        <f t="shared" si="6"/>
        <v>0.26497903401149248</v>
      </c>
      <c r="P32" s="26">
        <v>400</v>
      </c>
      <c r="Q32" s="15">
        <f t="shared" si="7"/>
        <v>1.2424289485945022E-2</v>
      </c>
      <c r="R32" s="18"/>
      <c r="S32" s="15"/>
      <c r="T32" s="18"/>
      <c r="U32" s="15"/>
      <c r="V32" s="27">
        <v>46082</v>
      </c>
      <c r="W32" s="28">
        <f t="shared" ref="W32:W37" si="23">(B32+D32)/A32</f>
        <v>0.16611275042708495</v>
      </c>
      <c r="X32" s="29">
        <f t="shared" si="11"/>
        <v>0.18850753222550085</v>
      </c>
      <c r="Y32" s="30">
        <f t="shared" si="12"/>
        <v>0.64537971734741417</v>
      </c>
      <c r="Z32" s="29">
        <f t="shared" ref="Z32" si="24">J32/(J32+L32+N32+P32)</f>
        <v>0.57017037250938496</v>
      </c>
      <c r="AA32" s="29">
        <f t="shared" ref="AA32" si="25">(L32)/(J32+L32+N32+P32)</f>
        <v>0</v>
      </c>
      <c r="AB32" s="31">
        <f t="shared" ref="AB32" si="26">(N32+P32)/(J32+L32+N32+P32)</f>
        <v>0.4298296274906151</v>
      </c>
      <c r="AC32" s="25">
        <f t="shared" ref="AC32" si="27">J32+L32+N32+P32</f>
        <v>20778</v>
      </c>
    </row>
    <row r="33" spans="1:29" ht="21.6" customHeight="1" x14ac:dyDescent="0.15">
      <c r="A33" s="21">
        <f t="shared" si="21"/>
        <v>37977</v>
      </c>
      <c r="B33" s="22">
        <v>1920</v>
      </c>
      <c r="C33" s="15">
        <f t="shared" si="2"/>
        <v>5.0556916028122283E-2</v>
      </c>
      <c r="D33" s="23">
        <v>6003</v>
      </c>
      <c r="E33" s="15">
        <f t="shared" si="22"/>
        <v>0.15806935776917608</v>
      </c>
      <c r="F33" s="23">
        <v>6700</v>
      </c>
      <c r="G33" s="15">
        <f t="shared" ref="G33:G38" si="28">F33/A33</f>
        <v>0.1764225715564684</v>
      </c>
      <c r="H33" s="24">
        <v>2893</v>
      </c>
      <c r="I33" s="15">
        <f t="shared" si="4"/>
        <v>7.6177686494457178E-2</v>
      </c>
      <c r="J33" s="25">
        <v>10913</v>
      </c>
      <c r="K33" s="15">
        <f t="shared" si="9"/>
        <v>0.28735813782025965</v>
      </c>
      <c r="L33" s="23">
        <v>0</v>
      </c>
      <c r="M33" s="15">
        <f t="shared" si="5"/>
        <v>0</v>
      </c>
      <c r="N33" s="23">
        <v>9148</v>
      </c>
      <c r="O33" s="15">
        <f t="shared" si="6"/>
        <v>0.2408826394923243</v>
      </c>
      <c r="P33" s="26">
        <v>400</v>
      </c>
      <c r="Q33" s="15">
        <f t="shared" si="7"/>
        <v>1.0532690839192142E-2</v>
      </c>
      <c r="R33" s="18"/>
      <c r="S33" s="15"/>
      <c r="T33" s="18"/>
      <c r="U33" s="15"/>
      <c r="V33" s="27">
        <v>46096</v>
      </c>
      <c r="W33" s="28">
        <f t="shared" si="23"/>
        <v>0.20862627379729837</v>
      </c>
      <c r="X33" s="29">
        <f t="shared" ref="X33" si="29">(F33+H33)/A33</f>
        <v>0.25260025805092556</v>
      </c>
      <c r="Y33" s="30">
        <f t="shared" ref="Y33" si="30">(J33+L33+N33+P33)/A33</f>
        <v>0.53877346815177607</v>
      </c>
      <c r="Z33" s="29">
        <f t="shared" ref="Z33" si="31">J33/(J33+L33+N33+P33)</f>
        <v>0.53335614095107764</v>
      </c>
      <c r="AA33" s="29">
        <f t="shared" ref="AA33" si="32">(L33)/(J33+L33+N33+P33)</f>
        <v>0</v>
      </c>
      <c r="AB33" s="31">
        <f t="shared" ref="AB33" si="33">(N33+P33)/(J33+L33+N33+P33)</f>
        <v>0.46664385904892236</v>
      </c>
      <c r="AC33" s="25">
        <f t="shared" ref="AC33" si="34">J33+L33+N33+P33</f>
        <v>20461</v>
      </c>
    </row>
    <row r="34" spans="1:29" ht="21.6" customHeight="1" x14ac:dyDescent="0.15">
      <c r="A34" s="21">
        <f t="shared" si="21"/>
        <v>34800</v>
      </c>
      <c r="B34" s="22">
        <v>5</v>
      </c>
      <c r="C34" s="15">
        <f t="shared" si="2"/>
        <v>1.4367816091954023E-4</v>
      </c>
      <c r="D34" s="23">
        <v>5080</v>
      </c>
      <c r="E34" s="15">
        <f t="shared" si="22"/>
        <v>0.14597701149425288</v>
      </c>
      <c r="F34" s="23">
        <v>6700</v>
      </c>
      <c r="G34" s="15">
        <f t="shared" si="28"/>
        <v>0.19252873563218389</v>
      </c>
      <c r="H34" s="24">
        <v>2894</v>
      </c>
      <c r="I34" s="15">
        <f t="shared" si="4"/>
        <v>8.3160919540229888E-2</v>
      </c>
      <c r="J34" s="25">
        <v>13510</v>
      </c>
      <c r="K34" s="15">
        <f t="shared" si="9"/>
        <v>0.38821839080459769</v>
      </c>
      <c r="L34" s="23">
        <v>0</v>
      </c>
      <c r="M34" s="15">
        <f t="shared" si="5"/>
        <v>0</v>
      </c>
      <c r="N34" s="23">
        <v>6211</v>
      </c>
      <c r="O34" s="15">
        <f t="shared" si="6"/>
        <v>0.17847701149425288</v>
      </c>
      <c r="P34" s="26">
        <v>400</v>
      </c>
      <c r="Q34" s="15">
        <f t="shared" si="7"/>
        <v>1.1494252873563218E-2</v>
      </c>
      <c r="R34" s="18"/>
      <c r="S34" s="15"/>
      <c r="T34" s="18"/>
      <c r="U34" s="15"/>
      <c r="V34" s="27">
        <v>46113</v>
      </c>
      <c r="W34" s="28">
        <f t="shared" si="23"/>
        <v>0.14612068965517241</v>
      </c>
      <c r="X34" s="29">
        <f t="shared" ref="X34" si="35">(F34+H34)/A34</f>
        <v>0.27568965517241378</v>
      </c>
      <c r="Y34" s="30">
        <f t="shared" ref="Y34" si="36">(J34+L34+N34+P34)/A34</f>
        <v>0.57818965517241383</v>
      </c>
      <c r="Z34" s="29">
        <f t="shared" ref="Z34" si="37">J34/(J34+L34+N34+P34)</f>
        <v>0.67143780130212216</v>
      </c>
      <c r="AA34" s="29">
        <f t="shared" ref="AA34" si="38">(L34)/(J34+L34+N34+P34)</f>
        <v>0</v>
      </c>
      <c r="AB34" s="31">
        <f t="shared" ref="AB34" si="39">(N34+P34)/(J34+L34+N34+P34)</f>
        <v>0.32856219869787784</v>
      </c>
      <c r="AC34" s="25">
        <f t="shared" ref="AC34" si="40">J34+L34+N34+P34</f>
        <v>20121</v>
      </c>
    </row>
    <row r="35" spans="1:29" ht="21.6" customHeight="1" x14ac:dyDescent="0.15">
      <c r="A35" s="21">
        <f t="shared" si="21"/>
        <v>36972</v>
      </c>
      <c r="B35" s="22">
        <v>21</v>
      </c>
      <c r="C35" s="15">
        <f t="shared" si="2"/>
        <v>5.6799740344044142E-4</v>
      </c>
      <c r="D35" s="23">
        <v>4979</v>
      </c>
      <c r="E35" s="15">
        <f t="shared" si="22"/>
        <v>0.13466947960618847</v>
      </c>
      <c r="F35" s="23">
        <v>7700</v>
      </c>
      <c r="G35" s="15">
        <f t="shared" si="28"/>
        <v>0.20826571459482851</v>
      </c>
      <c r="H35" s="24">
        <v>3878</v>
      </c>
      <c r="I35" s="15">
        <f t="shared" si="4"/>
        <v>0.10489018716866819</v>
      </c>
      <c r="J35" s="25">
        <v>12773</v>
      </c>
      <c r="K35" s="15">
        <f t="shared" si="9"/>
        <v>0.34547765876879799</v>
      </c>
      <c r="L35" s="23">
        <v>0</v>
      </c>
      <c r="M35" s="15">
        <f t="shared" si="5"/>
        <v>0</v>
      </c>
      <c r="N35" s="23">
        <v>7221</v>
      </c>
      <c r="O35" s="15">
        <f t="shared" si="6"/>
        <v>0.19530996429730607</v>
      </c>
      <c r="P35" s="26">
        <v>400</v>
      </c>
      <c r="Q35" s="15">
        <f t="shared" si="7"/>
        <v>1.0818998160770312E-2</v>
      </c>
      <c r="R35" s="18"/>
      <c r="S35" s="15"/>
      <c r="T35" s="18"/>
      <c r="U35" s="15"/>
      <c r="V35" s="27">
        <v>46127</v>
      </c>
      <c r="W35" s="28">
        <f t="shared" si="23"/>
        <v>0.1352374770096289</v>
      </c>
      <c r="X35" s="29">
        <f t="shared" ref="X35" si="41">(F35+H35)/A35</f>
        <v>0.31315590176349672</v>
      </c>
      <c r="Y35" s="30">
        <f t="shared" ref="Y35" si="42">(J35+L35+N35+P35)/A35</f>
        <v>0.55160662122687443</v>
      </c>
      <c r="Z35" s="29">
        <f t="shared" ref="Z35" si="43">J35/(J35+L35+N35+P35)</f>
        <v>0.62631166029224283</v>
      </c>
      <c r="AA35" s="29">
        <f t="shared" ref="AA35" si="44">(L35)/(J35+L35+N35+P35)</f>
        <v>0</v>
      </c>
      <c r="AB35" s="31">
        <f t="shared" ref="AB35" si="45">(N35+P35)/(J35+L35+N35+P35)</f>
        <v>0.37368833970775717</v>
      </c>
      <c r="AC35" s="25">
        <f t="shared" ref="AC35" si="46">J35+L35+N35+P35</f>
        <v>20394</v>
      </c>
    </row>
    <row r="36" spans="1:29" ht="21.6" customHeight="1" x14ac:dyDescent="0.15">
      <c r="A36" s="21">
        <f t="shared" si="21"/>
        <v>34223</v>
      </c>
      <c r="B36" s="22">
        <v>949</v>
      </c>
      <c r="C36" s="15">
        <f t="shared" si="2"/>
        <v>2.7729889255763668E-2</v>
      </c>
      <c r="D36" s="23">
        <v>1117</v>
      </c>
      <c r="E36" s="15">
        <f t="shared" si="22"/>
        <v>3.2638868597142275E-2</v>
      </c>
      <c r="F36" s="23">
        <v>7700</v>
      </c>
      <c r="G36" s="15">
        <f t="shared" si="28"/>
        <v>0.22499488647985272</v>
      </c>
      <c r="H36" s="24">
        <v>3883</v>
      </c>
      <c r="I36" s="15">
        <f t="shared" si="4"/>
        <v>0.11346170703912574</v>
      </c>
      <c r="J36" s="25">
        <v>12529</v>
      </c>
      <c r="K36" s="15">
        <f t="shared" si="9"/>
        <v>0.36609882242936037</v>
      </c>
      <c r="L36" s="23">
        <v>0</v>
      </c>
      <c r="M36" s="15">
        <f t="shared" si="5"/>
        <v>0</v>
      </c>
      <c r="N36" s="23">
        <v>7645</v>
      </c>
      <c r="O36" s="15">
        <f t="shared" si="6"/>
        <v>0.22338778014785379</v>
      </c>
      <c r="P36" s="26">
        <v>400</v>
      </c>
      <c r="Q36" s="15">
        <f t="shared" si="7"/>
        <v>1.168804605090144E-2</v>
      </c>
      <c r="R36" s="18"/>
      <c r="S36" s="15"/>
      <c r="T36" s="18"/>
      <c r="U36" s="15"/>
      <c r="V36" s="27">
        <v>46143</v>
      </c>
      <c r="W36" s="28">
        <f t="shared" si="23"/>
        <v>6.0368757852905942E-2</v>
      </c>
      <c r="X36" s="29">
        <f t="shared" ref="X36" si="47">(F36+H36)/A36</f>
        <v>0.33845659351897844</v>
      </c>
      <c r="Y36" s="30">
        <f t="shared" ref="Y36" si="48">(J36+L36+N36+P36)/A36</f>
        <v>0.60117464862811565</v>
      </c>
      <c r="Z36" s="29">
        <f t="shared" ref="Z36" si="49">J36/(J36+L36+N36+P36)</f>
        <v>0.60897248954991734</v>
      </c>
      <c r="AA36" s="29">
        <f t="shared" ref="AA36" si="50">(L36)/(J36+L36+N36+P36)</f>
        <v>0</v>
      </c>
      <c r="AB36" s="31">
        <f t="shared" ref="AB36" si="51">(N36+P36)/(J36+L36+N36+P36)</f>
        <v>0.3910275104500826</v>
      </c>
      <c r="AC36" s="25">
        <f t="shared" ref="AC36" si="52">J36+L36+N36+P36</f>
        <v>20574</v>
      </c>
    </row>
    <row r="37" spans="1:29" ht="21.6" customHeight="1" x14ac:dyDescent="0.15">
      <c r="A37" s="21">
        <f t="shared" si="21"/>
        <v>37370</v>
      </c>
      <c r="B37" s="22">
        <v>1330</v>
      </c>
      <c r="C37" s="15">
        <f t="shared" si="2"/>
        <v>3.5590045491035588E-2</v>
      </c>
      <c r="D37" s="23">
        <v>2333</v>
      </c>
      <c r="E37" s="15">
        <f t="shared" si="22"/>
        <v>6.2429756489162429E-2</v>
      </c>
      <c r="F37" s="23">
        <v>7700</v>
      </c>
      <c r="G37" s="15">
        <f t="shared" si="28"/>
        <v>0.20604763179020605</v>
      </c>
      <c r="H37" s="24">
        <v>5230</v>
      </c>
      <c r="I37" s="15">
        <f t="shared" si="4"/>
        <v>0.13995183302113995</v>
      </c>
      <c r="J37" s="25">
        <v>13133</v>
      </c>
      <c r="K37" s="15">
        <f t="shared" si="9"/>
        <v>0.3514316296494514</v>
      </c>
      <c r="L37" s="23">
        <v>0</v>
      </c>
      <c r="M37" s="15">
        <f t="shared" si="5"/>
        <v>0</v>
      </c>
      <c r="N37" s="23">
        <v>7244</v>
      </c>
      <c r="O37" s="15">
        <f t="shared" si="6"/>
        <v>0.19384533047899385</v>
      </c>
      <c r="P37" s="26">
        <v>400</v>
      </c>
      <c r="Q37" s="15">
        <f t="shared" si="7"/>
        <v>1.0703773080010704E-2</v>
      </c>
      <c r="R37" s="18"/>
      <c r="S37" s="15"/>
      <c r="T37" s="18"/>
      <c r="U37" s="15"/>
      <c r="V37" s="27">
        <v>46157</v>
      </c>
      <c r="W37" s="28">
        <f t="shared" si="23"/>
        <v>9.8019801980198024E-2</v>
      </c>
      <c r="X37" s="29">
        <f t="shared" ref="X37" si="53">(F37+H37)/A37</f>
        <v>0.34599946481134602</v>
      </c>
      <c r="Y37" s="30">
        <f t="shared" ref="Y37" si="54">(J37+L37+N37+P37)/A37</f>
        <v>0.55598073320845598</v>
      </c>
      <c r="Z37" s="29">
        <f t="shared" ref="Z37" si="55">J37/(J37+L37+N37+P37)</f>
        <v>0.63209317995860803</v>
      </c>
      <c r="AA37" s="29">
        <f t="shared" ref="AA37" si="56">(L37)/(J37+L37+N37+P37)</f>
        <v>0</v>
      </c>
      <c r="AB37" s="31">
        <f t="shared" ref="AB37" si="57">(N37+P37)/(J37+L37+N37+P37)</f>
        <v>0.36790682004139191</v>
      </c>
      <c r="AC37" s="25">
        <f t="shared" ref="AC37" si="58">J37+L37+N37+P37</f>
        <v>20777</v>
      </c>
    </row>
    <row r="38" spans="1:29" ht="21.6" customHeight="1" x14ac:dyDescent="0.15">
      <c r="A38" s="21">
        <f t="shared" si="21"/>
        <v>36079</v>
      </c>
      <c r="B38" s="22">
        <v>100</v>
      </c>
      <c r="C38" s="15">
        <f t="shared" si="2"/>
        <v>2.771695446104382E-3</v>
      </c>
      <c r="D38" s="23">
        <v>2334</v>
      </c>
      <c r="E38" s="15">
        <f t="shared" si="22"/>
        <v>6.469137171207627E-2</v>
      </c>
      <c r="F38" s="23">
        <v>7700</v>
      </c>
      <c r="G38" s="15">
        <f t="shared" si="28"/>
        <v>0.21342054935003743</v>
      </c>
      <c r="H38" s="24">
        <v>5217</v>
      </c>
      <c r="I38" s="15">
        <f t="shared" si="4"/>
        <v>0.1445993514232656</v>
      </c>
      <c r="J38" s="25">
        <v>12690</v>
      </c>
      <c r="K38" s="15">
        <f t="shared" si="9"/>
        <v>0.35172815211064606</v>
      </c>
      <c r="L38" s="23">
        <v>0</v>
      </c>
      <c r="M38" s="15">
        <f t="shared" si="5"/>
        <v>0</v>
      </c>
      <c r="N38" s="23">
        <v>7638</v>
      </c>
      <c r="O38" s="15">
        <f t="shared" si="6"/>
        <v>0.2117020981734527</v>
      </c>
      <c r="P38" s="26">
        <v>400</v>
      </c>
      <c r="Q38" s="15">
        <f t="shared" si="7"/>
        <v>1.1086781784417528E-2</v>
      </c>
      <c r="R38" s="18"/>
      <c r="S38" s="15"/>
      <c r="T38" s="18"/>
      <c r="U38" s="15"/>
      <c r="V38" s="27">
        <v>46174</v>
      </c>
      <c r="W38" s="28">
        <f t="shared" ref="W38" si="59">(B38+D38)/A38</f>
        <v>6.7463067158180665E-2</v>
      </c>
      <c r="X38" s="29">
        <f t="shared" ref="X38" si="60">(F38+H38)/A38</f>
        <v>0.35801990077330303</v>
      </c>
      <c r="Y38" s="30">
        <f t="shared" ref="Y38" si="61">(J38+L38+N38+P38)/A38</f>
        <v>0.57451703206851634</v>
      </c>
      <c r="Z38" s="29">
        <f t="shared" ref="Z38" si="62">J38/(J38+L38+N38+P38)</f>
        <v>0.6122153608645311</v>
      </c>
      <c r="AA38" s="29">
        <f t="shared" ref="AA38" si="63">(L38)/(J38+L38+N38+P38)</f>
        <v>0</v>
      </c>
      <c r="AB38" s="31">
        <f t="shared" ref="AB38" si="64">(N38+P38)/(J38+L38+N38+P38)</f>
        <v>0.38778463913546896</v>
      </c>
      <c r="AC38" s="25">
        <f t="shared" ref="AC38" si="65">J38+L38+N38+P38</f>
        <v>20728</v>
      </c>
    </row>
    <row r="39" spans="1:29" ht="21.6" customHeight="1" x14ac:dyDescent="0.15">
      <c r="A39" s="21">
        <f>SUM(B39,D39,F39,H39,J39,L39,N39,P39)</f>
        <v>37240</v>
      </c>
      <c r="B39" s="22">
        <v>2294</v>
      </c>
      <c r="C39" s="15">
        <f t="shared" ref="C39:C45" si="66">B39/A39</f>
        <v>6.160042964554243E-2</v>
      </c>
      <c r="D39" s="23">
        <v>1556</v>
      </c>
      <c r="E39" s="15">
        <f t="shared" ref="E39:E45" si="67">D39/A39</f>
        <v>4.1783029001074112E-2</v>
      </c>
      <c r="F39" s="23">
        <v>7700</v>
      </c>
      <c r="G39" s="15">
        <f t="shared" ref="G39:G45" si="68">F39/A39</f>
        <v>0.20676691729323307</v>
      </c>
      <c r="H39" s="24">
        <v>5194</v>
      </c>
      <c r="I39" s="15">
        <f t="shared" ref="I39:I45" si="69">H39/A39</f>
        <v>0.13947368421052631</v>
      </c>
      <c r="J39" s="25">
        <v>6525</v>
      </c>
      <c r="K39" s="15">
        <f t="shared" ref="K39:K45" si="70">J39/A39</f>
        <v>0.17521482277121375</v>
      </c>
      <c r="L39" s="23">
        <v>5000</v>
      </c>
      <c r="M39" s="15">
        <f t="shared" ref="M39:M45" si="71">L39/A39</f>
        <v>0.13426423200859292</v>
      </c>
      <c r="N39" s="23">
        <v>8571</v>
      </c>
      <c r="O39" s="15">
        <f t="shared" ref="O39:O45" si="72">N39/A39</f>
        <v>0.23015574650912995</v>
      </c>
      <c r="P39" s="26">
        <v>400</v>
      </c>
      <c r="Q39" s="15">
        <f t="shared" ref="Q39:Q45" si="73">P39/A39</f>
        <v>1.0741138560687433E-2</v>
      </c>
      <c r="R39" s="18"/>
      <c r="S39" s="15"/>
      <c r="T39" s="36">
        <v>7152</v>
      </c>
      <c r="U39" s="15"/>
      <c r="V39" s="27">
        <v>46188</v>
      </c>
      <c r="W39" s="28">
        <f t="shared" ref="W39:W44" si="74">(B39+D39)/A39</f>
        <v>0.10338345864661654</v>
      </c>
      <c r="X39" s="29">
        <f>(F39+H39)/A39</f>
        <v>0.3462406015037594</v>
      </c>
      <c r="Y39" s="30">
        <f t="shared" ref="Y39:Y44" si="75">(J39+L39+N39+P39)/A39</f>
        <v>0.55037593984962407</v>
      </c>
      <c r="Z39" s="29">
        <f t="shared" ref="Z39:Z44" si="76">J39/(J39+L39+N39+P39)</f>
        <v>0.31835480093676816</v>
      </c>
      <c r="AA39" s="29">
        <f t="shared" ref="AA39:AA44" si="77">(L39)/(J39+L39+N39+P39)</f>
        <v>0.24395003903200624</v>
      </c>
      <c r="AB39" s="31">
        <f t="shared" ref="AB39:AB44" si="78">(N39+P39)/(J39+L39+N39+P39)</f>
        <v>0.43769516003122561</v>
      </c>
      <c r="AC39" s="25">
        <f t="shared" ref="AC39:AC44" si="79">J39+L39+N39+P39</f>
        <v>20496</v>
      </c>
    </row>
    <row r="40" spans="1:29" ht="21.6" customHeight="1" x14ac:dyDescent="0.15">
      <c r="A40" s="21">
        <f>SUM(B40,D40,F40,H40,J40,L40,N40,P40)</f>
        <v>34627</v>
      </c>
      <c r="B40" s="22">
        <v>767</v>
      </c>
      <c r="C40" s="15">
        <f t="shared" si="66"/>
        <v>2.2150345106419847E-2</v>
      </c>
      <c r="D40" s="23">
        <v>328</v>
      </c>
      <c r="E40" s="15">
        <f t="shared" si="67"/>
        <v>9.4723770468131806E-3</v>
      </c>
      <c r="F40" s="23">
        <v>7700</v>
      </c>
      <c r="G40" s="15">
        <f t="shared" si="68"/>
        <v>0.22236982701360211</v>
      </c>
      <c r="H40" s="24">
        <v>5222</v>
      </c>
      <c r="I40" s="15">
        <f t="shared" si="69"/>
        <v>0.15080717359286105</v>
      </c>
      <c r="J40" s="25">
        <v>6255</v>
      </c>
      <c r="K40" s="15">
        <f t="shared" si="70"/>
        <v>0.18063938545065988</v>
      </c>
      <c r="L40" s="23">
        <v>5007</v>
      </c>
      <c r="M40" s="15">
        <f t="shared" si="71"/>
        <v>0.14459814595546827</v>
      </c>
      <c r="N40" s="23">
        <v>8948</v>
      </c>
      <c r="O40" s="15">
        <f t="shared" si="72"/>
        <v>0.2584110665087937</v>
      </c>
      <c r="P40" s="26">
        <v>400</v>
      </c>
      <c r="Q40" s="15">
        <f t="shared" si="73"/>
        <v>1.1551679325381927E-2</v>
      </c>
      <c r="R40" s="18"/>
      <c r="S40" s="15"/>
      <c r="T40" s="36">
        <v>6854</v>
      </c>
      <c r="U40" s="15"/>
      <c r="V40" s="34">
        <v>46204</v>
      </c>
      <c r="W40" s="28">
        <f t="shared" si="74"/>
        <v>3.1622722153233029E-2</v>
      </c>
      <c r="X40" s="29">
        <f>(F40+H40)/A40</f>
        <v>0.37317700060646314</v>
      </c>
      <c r="Y40" s="30">
        <f t="shared" si="75"/>
        <v>0.59520027724030378</v>
      </c>
      <c r="Z40" s="29">
        <f t="shared" si="76"/>
        <v>0.30349344978165937</v>
      </c>
      <c r="AA40" s="29">
        <f t="shared" si="77"/>
        <v>0.24294032023289666</v>
      </c>
      <c r="AB40" s="31">
        <f t="shared" si="78"/>
        <v>0.45356622998544394</v>
      </c>
      <c r="AC40" s="25">
        <f t="shared" si="79"/>
        <v>20610</v>
      </c>
    </row>
    <row r="41" spans="1:29" ht="21.6" customHeight="1" x14ac:dyDescent="0.15">
      <c r="A41" s="21">
        <f>SUM(B41,D41,F41,H41,J41,L41,N41,P41)</f>
        <v>33067</v>
      </c>
      <c r="B41" s="22">
        <v>4151</v>
      </c>
      <c r="C41" s="15">
        <f t="shared" si="66"/>
        <v>0.12553300873983125</v>
      </c>
      <c r="D41" s="23">
        <v>31</v>
      </c>
      <c r="E41" s="15">
        <f t="shared" si="67"/>
        <v>9.3749054949042855E-4</v>
      </c>
      <c r="F41" s="23">
        <v>7700</v>
      </c>
      <c r="G41" s="15">
        <f t="shared" si="68"/>
        <v>0.23286055584117096</v>
      </c>
      <c r="H41" s="24">
        <v>339</v>
      </c>
      <c r="I41" s="15">
        <f t="shared" si="69"/>
        <v>1.0251912783137267E-2</v>
      </c>
      <c r="J41" s="25">
        <v>5480</v>
      </c>
      <c r="K41" s="15">
        <f t="shared" si="70"/>
        <v>0.1657241358454048</v>
      </c>
      <c r="L41" s="23">
        <v>5011</v>
      </c>
      <c r="M41" s="15">
        <f t="shared" si="71"/>
        <v>0.15154081108053347</v>
      </c>
      <c r="N41" s="23">
        <v>9955</v>
      </c>
      <c r="O41" s="15">
        <f t="shared" si="72"/>
        <v>0.30105543290894243</v>
      </c>
      <c r="P41" s="26">
        <v>400</v>
      </c>
      <c r="Q41" s="15">
        <f t="shared" si="73"/>
        <v>1.20966522514894E-2</v>
      </c>
      <c r="R41" s="18"/>
      <c r="S41" s="15"/>
      <c r="T41" s="36">
        <v>6854</v>
      </c>
      <c r="U41" s="15"/>
      <c r="V41" s="27">
        <v>46218</v>
      </c>
      <c r="W41" s="28">
        <f t="shared" si="74"/>
        <v>0.12647049928932169</v>
      </c>
      <c r="X41" s="29">
        <f>(F41+H41)/A41</f>
        <v>0.24311246862430821</v>
      </c>
      <c r="Y41" s="30">
        <f t="shared" si="75"/>
        <v>0.63041703208637012</v>
      </c>
      <c r="Z41" s="29">
        <f t="shared" si="76"/>
        <v>0.26288016885733473</v>
      </c>
      <c r="AA41" s="29">
        <f t="shared" si="77"/>
        <v>0.24038184783651539</v>
      </c>
      <c r="AB41" s="31">
        <f t="shared" si="78"/>
        <v>0.49673798330614988</v>
      </c>
      <c r="AC41" s="25">
        <f t="shared" si="79"/>
        <v>20846</v>
      </c>
    </row>
    <row r="42" spans="1:29" ht="21.6" customHeight="1" x14ac:dyDescent="0.15">
      <c r="A42" s="21">
        <f>SUM(B42,D42,F42,H42,J42,L42,N42,P42,R42)</f>
        <v>32390</v>
      </c>
      <c r="B42" s="35">
        <v>637</v>
      </c>
      <c r="C42" s="15">
        <f t="shared" si="66"/>
        <v>1.9666563754245137E-2</v>
      </c>
      <c r="D42" s="23">
        <v>31</v>
      </c>
      <c r="E42" s="15">
        <f t="shared" si="67"/>
        <v>9.570855202222908E-4</v>
      </c>
      <c r="F42" s="23">
        <v>7700</v>
      </c>
      <c r="G42" s="15">
        <f t="shared" si="68"/>
        <v>0.23772769373263353</v>
      </c>
      <c r="H42" s="24">
        <v>337</v>
      </c>
      <c r="I42" s="15">
        <f t="shared" si="69"/>
        <v>1.0404445816610064E-2</v>
      </c>
      <c r="J42" s="25">
        <v>5335</v>
      </c>
      <c r="K42" s="15">
        <f t="shared" si="70"/>
        <v>0.16471133065761037</v>
      </c>
      <c r="L42" s="23">
        <v>5016</v>
      </c>
      <c r="M42" s="15">
        <f t="shared" si="71"/>
        <v>0.15486261191725842</v>
      </c>
      <c r="N42" s="23">
        <v>9862</v>
      </c>
      <c r="O42" s="15">
        <f t="shared" si="72"/>
        <v>0.30447669033652364</v>
      </c>
      <c r="P42" s="26">
        <v>400</v>
      </c>
      <c r="Q42" s="15">
        <f t="shared" si="73"/>
        <v>1.234949058351343E-2</v>
      </c>
      <c r="R42" s="18">
        <v>3072</v>
      </c>
      <c r="S42" s="15">
        <f>R42/A42</f>
        <v>9.4844087681383138E-2</v>
      </c>
      <c r="T42" s="36">
        <v>6556</v>
      </c>
      <c r="U42" s="15"/>
      <c r="V42" s="27">
        <v>46235</v>
      </c>
      <c r="W42" s="28">
        <f t="shared" si="74"/>
        <v>2.0623649274467429E-2</v>
      </c>
      <c r="X42" s="29">
        <f>(F42+H42+R42)/A42</f>
        <v>0.34297622723062676</v>
      </c>
      <c r="Y42" s="30">
        <f t="shared" si="75"/>
        <v>0.63640012349490582</v>
      </c>
      <c r="Z42" s="29">
        <f t="shared" si="76"/>
        <v>0.25881725124921168</v>
      </c>
      <c r="AA42" s="29">
        <f t="shared" si="77"/>
        <v>0.24334158055595984</v>
      </c>
      <c r="AB42" s="31">
        <f t="shared" si="78"/>
        <v>0.49784116819482849</v>
      </c>
      <c r="AC42" s="25">
        <f t="shared" si="79"/>
        <v>20613</v>
      </c>
    </row>
    <row r="43" spans="1:29" ht="21.6" customHeight="1" x14ac:dyDescent="0.15">
      <c r="A43" s="21">
        <f>SUM(B43,D43,F43,H43,J43,L43,N43,P43,R43)</f>
        <v>37558</v>
      </c>
      <c r="B43" s="22">
        <v>1306</v>
      </c>
      <c r="C43" s="15">
        <f t="shared" si="66"/>
        <v>3.4772884605144043E-2</v>
      </c>
      <c r="D43" s="23">
        <v>6000</v>
      </c>
      <c r="E43" s="15">
        <f t="shared" si="67"/>
        <v>0.15975291549070769</v>
      </c>
      <c r="F43" s="23">
        <v>3000</v>
      </c>
      <c r="G43" s="15">
        <f t="shared" si="68"/>
        <v>7.9876457745353846E-2</v>
      </c>
      <c r="H43" s="24">
        <v>337</v>
      </c>
      <c r="I43" s="15">
        <f t="shared" si="69"/>
        <v>8.97278875339475E-3</v>
      </c>
      <c r="J43" s="25">
        <v>11096</v>
      </c>
      <c r="K43" s="15">
        <f t="shared" si="70"/>
        <v>0.29543639171414876</v>
      </c>
      <c r="L43" s="23">
        <v>5021</v>
      </c>
      <c r="M43" s="15">
        <f t="shared" si="71"/>
        <v>0.13368656477980723</v>
      </c>
      <c r="N43" s="23">
        <v>7326</v>
      </c>
      <c r="O43" s="15">
        <f t="shared" si="72"/>
        <v>0.19505830981415412</v>
      </c>
      <c r="P43" s="26">
        <v>400</v>
      </c>
      <c r="Q43" s="15">
        <f t="shared" si="73"/>
        <v>1.065019436604718E-2</v>
      </c>
      <c r="R43" s="25">
        <v>3072</v>
      </c>
      <c r="S43" s="15">
        <f>R43/A43</f>
        <v>8.179349273124234E-2</v>
      </c>
      <c r="T43" s="36">
        <v>6556</v>
      </c>
      <c r="U43" s="15"/>
      <c r="V43" s="27">
        <v>46249</v>
      </c>
      <c r="W43" s="28">
        <f t="shared" si="74"/>
        <v>0.19452580009585174</v>
      </c>
      <c r="X43" s="29">
        <f>(F43+H43+R43)/A43</f>
        <v>0.17064273922999096</v>
      </c>
      <c r="Y43" s="30">
        <f t="shared" si="75"/>
        <v>0.6348314606741573</v>
      </c>
      <c r="Z43" s="29">
        <f t="shared" si="76"/>
        <v>0.46537767898334942</v>
      </c>
      <c r="AA43" s="29">
        <f t="shared" si="77"/>
        <v>0.21058591620182024</v>
      </c>
      <c r="AB43" s="31">
        <f t="shared" si="78"/>
        <v>0.32403640481483037</v>
      </c>
      <c r="AC43" s="25">
        <f t="shared" si="79"/>
        <v>23843</v>
      </c>
    </row>
    <row r="44" spans="1:29" ht="21.6" customHeight="1" x14ac:dyDescent="0.15">
      <c r="A44" s="21">
        <f>SUM(B44,D44,F44,H44,J44,L44,N44,P44,R44)</f>
        <v>38636</v>
      </c>
      <c r="B44" s="22">
        <v>1204</v>
      </c>
      <c r="C44" s="15">
        <f t="shared" si="66"/>
        <v>3.1162646236670463E-2</v>
      </c>
      <c r="D44" s="23">
        <v>4003</v>
      </c>
      <c r="E44" s="15">
        <f t="shared" si="67"/>
        <v>0.10360803395796667</v>
      </c>
      <c r="F44" s="23">
        <v>3000</v>
      </c>
      <c r="G44" s="15">
        <f t="shared" si="68"/>
        <v>7.7647789626255306E-2</v>
      </c>
      <c r="H44" s="24">
        <v>336</v>
      </c>
      <c r="I44" s="15">
        <f t="shared" si="69"/>
        <v>8.6965524381405947E-3</v>
      </c>
      <c r="J44" s="25">
        <v>11412</v>
      </c>
      <c r="K44" s="15">
        <f t="shared" si="70"/>
        <v>0.29537219173827517</v>
      </c>
      <c r="L44" s="23">
        <v>5026</v>
      </c>
      <c r="M44" s="15">
        <f t="shared" si="71"/>
        <v>0.13008593022051973</v>
      </c>
      <c r="N44" s="23">
        <v>7111</v>
      </c>
      <c r="O44" s="15">
        <f t="shared" si="72"/>
        <v>0.18405114401076716</v>
      </c>
      <c r="P44" s="26">
        <v>400</v>
      </c>
      <c r="Q44" s="15">
        <f t="shared" si="73"/>
        <v>1.0353038616834041E-2</v>
      </c>
      <c r="R44" s="25">
        <v>6144</v>
      </c>
      <c r="S44" s="15">
        <f>R44/A44</f>
        <v>0.15902267315457086</v>
      </c>
      <c r="T44" s="36">
        <v>6258</v>
      </c>
      <c r="U44" s="15"/>
      <c r="V44" s="27">
        <v>46266</v>
      </c>
      <c r="W44" s="28">
        <f t="shared" si="74"/>
        <v>0.13477068019463712</v>
      </c>
      <c r="X44" s="29">
        <f>(F44+H44+R44)/A44</f>
        <v>0.24536701521896676</v>
      </c>
      <c r="Y44" s="30">
        <f t="shared" si="75"/>
        <v>0.61986230458639613</v>
      </c>
      <c r="Z44" s="29">
        <f t="shared" si="76"/>
        <v>0.47651258925216083</v>
      </c>
      <c r="AA44" s="29">
        <f t="shared" si="77"/>
        <v>0.20986262474424819</v>
      </c>
      <c r="AB44" s="31">
        <f t="shared" si="78"/>
        <v>0.31362478600359095</v>
      </c>
      <c r="AC44" s="25">
        <f t="shared" si="79"/>
        <v>23949</v>
      </c>
    </row>
    <row r="45" spans="1:29" ht="21.6" customHeight="1" x14ac:dyDescent="0.15">
      <c r="A45" s="21">
        <f>SUM(B45,D45,F45,H45,J45,L45,N45,P45,R45)</f>
        <v>37185</v>
      </c>
      <c r="B45" s="22">
        <v>2936</v>
      </c>
      <c r="C45" s="15">
        <f t="shared" si="66"/>
        <v>7.895656850880732E-2</v>
      </c>
      <c r="D45" s="23">
        <v>0</v>
      </c>
      <c r="E45" s="15">
        <f t="shared" si="67"/>
        <v>0</v>
      </c>
      <c r="F45" s="23">
        <v>1000</v>
      </c>
      <c r="G45" s="15">
        <f t="shared" si="68"/>
        <v>2.6892564205997043E-2</v>
      </c>
      <c r="H45" s="24">
        <v>335</v>
      </c>
      <c r="I45" s="15">
        <f t="shared" si="69"/>
        <v>9.0090090090090089E-3</v>
      </c>
      <c r="J45" s="25">
        <v>10500</v>
      </c>
      <c r="K45" s="15">
        <f t="shared" si="70"/>
        <v>0.28237192416296891</v>
      </c>
      <c r="L45" s="23">
        <v>7023</v>
      </c>
      <c r="M45" s="15">
        <f t="shared" si="71"/>
        <v>0.18886647841871723</v>
      </c>
      <c r="N45" s="23">
        <v>7847</v>
      </c>
      <c r="O45" s="15">
        <f t="shared" si="72"/>
        <v>0.21102595132445878</v>
      </c>
      <c r="P45" s="26">
        <v>1400</v>
      </c>
      <c r="Q45" s="15">
        <f t="shared" si="73"/>
        <v>3.7649589888395861E-2</v>
      </c>
      <c r="R45" s="25">
        <v>6144</v>
      </c>
      <c r="S45" s="15">
        <f>R45/A45</f>
        <v>0.16522791448164584</v>
      </c>
      <c r="T45" s="36">
        <v>6258</v>
      </c>
      <c r="U45" s="15"/>
      <c r="V45" s="27">
        <v>46280</v>
      </c>
      <c r="W45" s="28">
        <f t="shared" ref="W45" si="80">(B45+D45)/A45</f>
        <v>7.895656850880732E-2</v>
      </c>
      <c r="X45" s="29">
        <f>(F45+H45+R45)/A45</f>
        <v>0.20112948769665187</v>
      </c>
      <c r="Y45" s="30">
        <f t="shared" ref="Y45" si="81">(J45+L45+N45+P45)/A45</f>
        <v>0.71991394379454077</v>
      </c>
      <c r="Z45" s="29">
        <f t="shared" ref="Z45" si="82">J45/(J45+L45+N45+P45)</f>
        <v>0.39223010833022037</v>
      </c>
      <c r="AA45" s="29">
        <f t="shared" ref="AA45" si="83">(L45)/(J45+L45+N45+P45)</f>
        <v>0.26234590960029885</v>
      </c>
      <c r="AB45" s="31">
        <f t="shared" ref="AB45" si="84">(N45+P45)/(J45+L45+N45+P45)</f>
        <v>0.34542398206948077</v>
      </c>
      <c r="AC45" s="25">
        <f t="shared" ref="AC45" si="85">J45+L45+N45+P45</f>
        <v>26770</v>
      </c>
    </row>
    <row r="46" spans="1:29" ht="21.6" customHeight="1" x14ac:dyDescent="0.15">
      <c r="A46" s="32"/>
      <c r="B46" s="22"/>
      <c r="C46" s="33"/>
      <c r="D46" s="23"/>
      <c r="E46" s="33"/>
      <c r="F46" s="23"/>
      <c r="G46" s="33"/>
      <c r="H46" s="24"/>
      <c r="I46" s="33"/>
      <c r="J46" s="25"/>
      <c r="K46" s="33"/>
      <c r="L46" s="23"/>
      <c r="M46" s="33"/>
      <c r="N46" s="16"/>
      <c r="O46" s="33"/>
      <c r="P46" s="26"/>
      <c r="Q46" s="33"/>
      <c r="R46" s="25"/>
      <c r="S46" s="33"/>
      <c r="T46" s="25"/>
      <c r="U46" s="33"/>
      <c r="V46" s="23"/>
    </row>
    <row r="47" spans="1:29" ht="21.6" customHeight="1" x14ac:dyDescent="0.15">
      <c r="A47" s="32"/>
      <c r="B47" s="22"/>
      <c r="C47" s="33"/>
      <c r="D47" s="23"/>
      <c r="E47" s="33"/>
      <c r="F47" s="23"/>
      <c r="G47" s="33"/>
      <c r="H47" s="24"/>
      <c r="I47" s="33"/>
      <c r="J47" s="25"/>
      <c r="K47" s="33"/>
      <c r="L47" s="23"/>
      <c r="M47" s="33"/>
      <c r="N47" s="23"/>
      <c r="O47" s="33"/>
      <c r="P47" s="26"/>
      <c r="Q47" s="33"/>
      <c r="R47" s="25"/>
      <c r="S47" s="33"/>
      <c r="T47" s="25"/>
      <c r="U47" s="33"/>
      <c r="V47" s="23"/>
    </row>
    <row r="48" spans="1:29" ht="21.6" customHeight="1" x14ac:dyDescent="0.15">
      <c r="A48" s="32"/>
      <c r="B48" s="22"/>
      <c r="C48" s="33"/>
      <c r="D48" s="23"/>
      <c r="E48" s="33"/>
      <c r="F48" s="23"/>
      <c r="G48" s="33"/>
      <c r="H48" s="24"/>
      <c r="I48" s="33"/>
      <c r="J48" s="25"/>
      <c r="K48" s="33"/>
      <c r="L48" s="23"/>
      <c r="M48" s="33"/>
      <c r="N48" s="23"/>
      <c r="O48" s="33"/>
      <c r="P48" s="26"/>
      <c r="Q48" s="33"/>
      <c r="R48" s="25"/>
      <c r="S48" s="33"/>
      <c r="T48" s="25"/>
      <c r="U48" s="33"/>
      <c r="V48" s="23"/>
    </row>
    <row r="49" spans="1:22" ht="21.6" customHeight="1" x14ac:dyDescent="0.15">
      <c r="A49" s="32"/>
      <c r="B49" s="22"/>
      <c r="C49" s="33"/>
      <c r="D49" s="23"/>
      <c r="E49" s="33"/>
      <c r="F49" s="23"/>
      <c r="G49" s="33"/>
      <c r="H49" s="24"/>
      <c r="I49" s="33"/>
      <c r="J49" s="25"/>
      <c r="K49" s="33"/>
      <c r="L49" s="23"/>
      <c r="M49" s="33"/>
      <c r="N49" s="23"/>
      <c r="O49" s="33"/>
      <c r="P49" s="26"/>
      <c r="Q49" s="33"/>
      <c r="R49" s="25"/>
      <c r="S49" s="33"/>
      <c r="T49" s="25"/>
      <c r="U49" s="33"/>
      <c r="V49" s="23"/>
    </row>
    <row r="50" spans="1:22" ht="21.6" customHeight="1" x14ac:dyDescent="0.15">
      <c r="A50" s="32"/>
      <c r="B50" s="22"/>
      <c r="C50" s="33"/>
      <c r="D50" s="23"/>
      <c r="E50" s="33"/>
      <c r="F50" s="23"/>
      <c r="G50" s="33"/>
      <c r="H50" s="24"/>
      <c r="I50" s="33"/>
      <c r="J50" s="25"/>
      <c r="K50" s="33"/>
      <c r="L50" s="23"/>
      <c r="M50" s="33"/>
      <c r="N50" s="23"/>
      <c r="O50" s="33"/>
      <c r="P50" s="26"/>
      <c r="Q50" s="33"/>
      <c r="R50" s="25"/>
      <c r="S50" s="33"/>
      <c r="T50" s="25"/>
      <c r="U50" s="33"/>
      <c r="V50" s="23"/>
    </row>
    <row r="51" spans="1:22" ht="21.6" customHeight="1" x14ac:dyDescent="0.15">
      <c r="A51" s="32"/>
      <c r="B51" s="22"/>
      <c r="C51" s="33"/>
      <c r="D51" s="23"/>
      <c r="E51" s="33"/>
      <c r="F51" s="23"/>
      <c r="G51" s="33"/>
      <c r="H51" s="24"/>
      <c r="I51" s="33"/>
      <c r="J51" s="25"/>
      <c r="K51" s="33"/>
      <c r="L51" s="23"/>
      <c r="M51" s="33"/>
      <c r="N51" s="23"/>
      <c r="O51" s="33"/>
      <c r="P51" s="26"/>
      <c r="Q51" s="33"/>
      <c r="R51" s="25"/>
      <c r="S51" s="33"/>
      <c r="T51" s="25"/>
      <c r="U51" s="33"/>
      <c r="V51" s="23"/>
    </row>
    <row r="52" spans="1:22" ht="21.6" customHeight="1" x14ac:dyDescent="0.15">
      <c r="A52" s="32"/>
      <c r="B52" s="22"/>
      <c r="C52" s="33"/>
      <c r="D52" s="23"/>
      <c r="E52" s="33"/>
      <c r="F52" s="23"/>
      <c r="G52" s="33"/>
      <c r="H52" s="24"/>
      <c r="I52" s="33"/>
      <c r="J52" s="25"/>
      <c r="K52" s="33"/>
      <c r="L52" s="23"/>
      <c r="M52" s="33"/>
      <c r="N52" s="23"/>
      <c r="O52" s="33"/>
      <c r="P52" s="26"/>
      <c r="Q52" s="33"/>
      <c r="R52" s="25"/>
      <c r="S52" s="33"/>
      <c r="T52" s="25"/>
      <c r="U52" s="33"/>
      <c r="V52" s="23"/>
    </row>
    <row r="53" spans="1:22" ht="21.6" customHeight="1" x14ac:dyDescent="0.15">
      <c r="A53" s="32"/>
      <c r="B53" s="22"/>
      <c r="C53" s="33"/>
      <c r="D53" s="23"/>
      <c r="E53" s="33"/>
      <c r="F53" s="23"/>
      <c r="G53" s="33"/>
      <c r="H53" s="24"/>
      <c r="I53" s="33"/>
      <c r="J53" s="25"/>
      <c r="K53" s="33"/>
      <c r="L53" s="23"/>
      <c r="M53" s="33"/>
      <c r="N53" s="23"/>
      <c r="O53" s="33"/>
      <c r="P53" s="26"/>
      <c r="Q53" s="33"/>
      <c r="R53" s="25"/>
      <c r="S53" s="33"/>
      <c r="T53" s="25"/>
      <c r="U53" s="33"/>
      <c r="V53" s="23"/>
    </row>
    <row r="54" spans="1:22" ht="21.6" customHeight="1" x14ac:dyDescent="0.15">
      <c r="A54" s="32"/>
      <c r="B54" s="22"/>
      <c r="C54" s="33"/>
      <c r="D54" s="23"/>
      <c r="E54" s="33"/>
      <c r="F54" s="23"/>
      <c r="G54" s="33"/>
      <c r="H54" s="24"/>
      <c r="I54" s="33"/>
      <c r="J54" s="25"/>
      <c r="K54" s="33"/>
      <c r="L54" s="23"/>
      <c r="M54" s="33"/>
      <c r="N54" s="23"/>
      <c r="O54" s="33"/>
      <c r="P54" s="26"/>
      <c r="Q54" s="33"/>
      <c r="R54" s="25"/>
      <c r="S54" s="33"/>
      <c r="T54" s="25"/>
      <c r="U54" s="33"/>
      <c r="V54" s="23"/>
    </row>
    <row r="55" spans="1:22" ht="21.6" customHeight="1" x14ac:dyDescent="0.15">
      <c r="A55" s="32"/>
      <c r="B55" s="22"/>
      <c r="C55" s="33"/>
      <c r="D55" s="23"/>
      <c r="E55" s="33"/>
      <c r="F55" s="23"/>
      <c r="G55" s="33"/>
      <c r="H55" s="24"/>
      <c r="I55" s="33"/>
      <c r="J55" s="25"/>
      <c r="K55" s="33"/>
      <c r="L55" s="23"/>
      <c r="M55" s="33"/>
      <c r="N55" s="23"/>
      <c r="O55" s="33"/>
      <c r="P55" s="26"/>
      <c r="Q55" s="33"/>
      <c r="R55" s="25"/>
      <c r="S55" s="33"/>
      <c r="T55" s="25"/>
      <c r="U55" s="33"/>
      <c r="V55" s="23"/>
    </row>
    <row r="56" spans="1:22" ht="21.6" customHeight="1" x14ac:dyDescent="0.15">
      <c r="A56" s="32"/>
      <c r="B56" s="22"/>
      <c r="C56" s="33"/>
      <c r="D56" s="23"/>
      <c r="E56" s="33"/>
      <c r="F56" s="23"/>
      <c r="G56" s="33"/>
      <c r="H56" s="24"/>
      <c r="I56" s="33"/>
      <c r="J56" s="25"/>
      <c r="K56" s="33"/>
      <c r="L56" s="23"/>
      <c r="M56" s="33"/>
      <c r="N56" s="23"/>
      <c r="O56" s="33"/>
      <c r="P56" s="26"/>
      <c r="Q56" s="33"/>
      <c r="R56" s="25"/>
      <c r="S56" s="33"/>
      <c r="T56" s="25"/>
      <c r="U56" s="33"/>
      <c r="V56" s="23"/>
    </row>
    <row r="57" spans="1:22" ht="21.6" customHeight="1" x14ac:dyDescent="0.15">
      <c r="A57" s="32"/>
      <c r="B57" s="22"/>
      <c r="C57" s="33"/>
      <c r="D57" s="23"/>
      <c r="E57" s="33"/>
      <c r="F57" s="23"/>
      <c r="G57" s="33"/>
      <c r="H57" s="24"/>
      <c r="I57" s="33"/>
      <c r="J57" s="25"/>
      <c r="K57" s="33"/>
      <c r="L57" s="23"/>
      <c r="M57" s="33"/>
      <c r="N57" s="23"/>
      <c r="O57" s="33"/>
      <c r="P57" s="26"/>
      <c r="Q57" s="33"/>
      <c r="R57" s="25"/>
      <c r="S57" s="33"/>
      <c r="T57" s="25"/>
      <c r="U57" s="33"/>
      <c r="V57" s="23"/>
    </row>
    <row r="58" spans="1:22" ht="21.6" customHeight="1" x14ac:dyDescent="0.15">
      <c r="A58" s="32"/>
      <c r="B58" s="22"/>
      <c r="C58" s="33"/>
      <c r="D58" s="23"/>
      <c r="E58" s="33"/>
      <c r="F58" s="23"/>
      <c r="G58" s="33"/>
      <c r="H58" s="24"/>
      <c r="I58" s="33"/>
      <c r="J58" s="25"/>
      <c r="K58" s="33"/>
      <c r="L58" s="23"/>
      <c r="M58" s="33"/>
      <c r="N58" s="23"/>
      <c r="O58" s="33"/>
      <c r="P58" s="26"/>
      <c r="Q58" s="33"/>
      <c r="R58" s="25"/>
      <c r="S58" s="33"/>
      <c r="T58" s="25"/>
      <c r="U58" s="33"/>
      <c r="V58" s="23"/>
    </row>
    <row r="59" spans="1:22" ht="21.6" customHeight="1" x14ac:dyDescent="0.15">
      <c r="A59" s="32"/>
      <c r="B59" s="22"/>
      <c r="C59" s="33"/>
      <c r="D59" s="23"/>
      <c r="E59" s="33"/>
      <c r="F59" s="23"/>
      <c r="G59" s="33"/>
      <c r="H59" s="24"/>
      <c r="I59" s="33"/>
      <c r="J59" s="25"/>
      <c r="K59" s="33"/>
      <c r="L59" s="23"/>
      <c r="M59" s="33"/>
      <c r="N59" s="23"/>
      <c r="O59" s="33"/>
      <c r="P59" s="26"/>
      <c r="Q59" s="33"/>
      <c r="R59" s="25"/>
      <c r="S59" s="33"/>
      <c r="T59" s="25"/>
      <c r="U59" s="33"/>
      <c r="V59" s="23"/>
    </row>
    <row r="60" spans="1:22" ht="21.6" customHeight="1" x14ac:dyDescent="0.15">
      <c r="A60" s="32"/>
      <c r="B60" s="22"/>
      <c r="C60" s="33"/>
      <c r="D60" s="23"/>
      <c r="E60" s="33"/>
      <c r="F60" s="23"/>
      <c r="G60" s="33"/>
      <c r="H60" s="24"/>
      <c r="I60" s="33"/>
      <c r="J60" s="25"/>
      <c r="K60" s="33"/>
      <c r="L60" s="23"/>
      <c r="M60" s="33"/>
      <c r="N60" s="23"/>
      <c r="O60" s="33"/>
      <c r="P60" s="26"/>
      <c r="Q60" s="33"/>
      <c r="R60" s="25"/>
      <c r="S60" s="33"/>
      <c r="T60" s="25"/>
      <c r="U60" s="33"/>
      <c r="V60" s="23"/>
    </row>
    <row r="61" spans="1:22" ht="21.6" customHeight="1" x14ac:dyDescent="0.15">
      <c r="A61" s="32"/>
      <c r="B61" s="22"/>
      <c r="C61" s="33"/>
      <c r="D61" s="23"/>
      <c r="E61" s="33"/>
      <c r="F61" s="23"/>
      <c r="G61" s="33"/>
      <c r="H61" s="24"/>
      <c r="I61" s="33"/>
      <c r="J61" s="25"/>
      <c r="K61" s="33"/>
      <c r="L61" s="23"/>
      <c r="M61" s="33"/>
      <c r="N61" s="23"/>
      <c r="O61" s="33"/>
      <c r="P61" s="26"/>
      <c r="Q61" s="33"/>
      <c r="R61" s="25"/>
      <c r="S61" s="33"/>
      <c r="T61" s="25"/>
      <c r="U61" s="33"/>
      <c r="V61" s="23"/>
    </row>
    <row r="62" spans="1:22" ht="21.6" customHeight="1" x14ac:dyDescent="0.15">
      <c r="A62" s="32"/>
      <c r="B62" s="22"/>
      <c r="C62" s="33"/>
      <c r="D62" s="23"/>
      <c r="E62" s="33"/>
      <c r="F62" s="23"/>
      <c r="G62" s="33"/>
      <c r="H62" s="24"/>
      <c r="I62" s="33"/>
      <c r="J62" s="25"/>
      <c r="K62" s="33"/>
      <c r="L62" s="23"/>
      <c r="M62" s="33"/>
      <c r="N62" s="23"/>
      <c r="O62" s="33"/>
      <c r="P62" s="26"/>
      <c r="Q62" s="33"/>
      <c r="R62" s="25"/>
      <c r="S62" s="33"/>
      <c r="T62" s="25"/>
      <c r="U62" s="33"/>
      <c r="V62" s="23"/>
    </row>
    <row r="63" spans="1:22" ht="21.6" customHeight="1" x14ac:dyDescent="0.15">
      <c r="A63" s="32"/>
      <c r="B63" s="22"/>
      <c r="C63" s="33"/>
      <c r="D63" s="23"/>
      <c r="E63" s="33"/>
      <c r="F63" s="23"/>
      <c r="G63" s="33"/>
      <c r="H63" s="24"/>
      <c r="I63" s="33"/>
      <c r="J63" s="25"/>
      <c r="K63" s="33"/>
      <c r="L63" s="23"/>
      <c r="M63" s="33"/>
      <c r="N63" s="23"/>
      <c r="O63" s="33"/>
      <c r="P63" s="26"/>
      <c r="Q63" s="33"/>
      <c r="R63" s="25"/>
      <c r="S63" s="33"/>
      <c r="T63" s="25"/>
      <c r="U63" s="33"/>
      <c r="V63" s="23"/>
    </row>
    <row r="64" spans="1:22" ht="21.6" customHeight="1" x14ac:dyDescent="0.15">
      <c r="A64" s="32"/>
      <c r="B64" s="22"/>
      <c r="C64" s="33"/>
      <c r="D64" s="23"/>
      <c r="E64" s="33"/>
      <c r="F64" s="23"/>
      <c r="G64" s="33"/>
      <c r="H64" s="24"/>
      <c r="I64" s="33"/>
      <c r="J64" s="25"/>
      <c r="K64" s="33"/>
      <c r="L64" s="23"/>
      <c r="M64" s="33"/>
      <c r="N64" s="23"/>
      <c r="O64" s="33"/>
      <c r="P64" s="26"/>
      <c r="Q64" s="33"/>
      <c r="R64" s="25"/>
      <c r="S64" s="33"/>
      <c r="T64" s="25"/>
      <c r="U64" s="33"/>
      <c r="V64" s="23"/>
    </row>
    <row r="65" spans="1:22" ht="21.6" customHeight="1" x14ac:dyDescent="0.15">
      <c r="A65" s="32"/>
      <c r="B65" s="22"/>
      <c r="C65" s="33"/>
      <c r="D65" s="23"/>
      <c r="E65" s="33"/>
      <c r="F65" s="23"/>
      <c r="G65" s="33"/>
      <c r="H65" s="24"/>
      <c r="I65" s="33"/>
      <c r="J65" s="25"/>
      <c r="K65" s="33"/>
      <c r="L65" s="23"/>
      <c r="M65" s="33"/>
      <c r="N65" s="23"/>
      <c r="O65" s="33"/>
      <c r="P65" s="26"/>
      <c r="Q65" s="33"/>
      <c r="R65" s="25"/>
      <c r="S65" s="33"/>
      <c r="T65" s="25"/>
      <c r="U65" s="33"/>
      <c r="V65" s="23"/>
    </row>
    <row r="66" spans="1:22" ht="21.6" customHeight="1" x14ac:dyDescent="0.15">
      <c r="A66" s="32"/>
      <c r="B66" s="22"/>
      <c r="C66" s="33"/>
      <c r="D66" s="23"/>
      <c r="E66" s="33"/>
      <c r="F66" s="23"/>
      <c r="G66" s="33"/>
      <c r="H66" s="24"/>
      <c r="I66" s="33"/>
      <c r="J66" s="25"/>
      <c r="K66" s="33"/>
      <c r="L66" s="23"/>
      <c r="M66" s="33"/>
      <c r="N66" s="23"/>
      <c r="O66" s="33"/>
      <c r="P66" s="26"/>
      <c r="Q66" s="33"/>
      <c r="R66" s="25"/>
      <c r="S66" s="33"/>
      <c r="T66" s="25"/>
      <c r="U66" s="33"/>
      <c r="V66" s="23"/>
    </row>
    <row r="67" spans="1:22" ht="21.6" customHeight="1" x14ac:dyDescent="0.15">
      <c r="A67" s="32"/>
      <c r="B67" s="22"/>
      <c r="C67" s="33"/>
      <c r="D67" s="23"/>
      <c r="E67" s="33"/>
      <c r="F67" s="23"/>
      <c r="G67" s="33"/>
      <c r="H67" s="24"/>
      <c r="I67" s="33"/>
      <c r="J67" s="25"/>
      <c r="K67" s="33"/>
      <c r="L67" s="23"/>
      <c r="M67" s="33"/>
      <c r="N67" s="23"/>
      <c r="O67" s="33"/>
      <c r="P67" s="26"/>
      <c r="Q67" s="33"/>
      <c r="R67" s="25"/>
      <c r="S67" s="33"/>
      <c r="T67" s="25"/>
      <c r="U67" s="33"/>
      <c r="V67" s="23"/>
    </row>
    <row r="68" spans="1:22" ht="21.6" customHeight="1" x14ac:dyDescent="0.15">
      <c r="A68" s="32"/>
      <c r="B68" s="22"/>
      <c r="C68" s="33"/>
      <c r="D68" s="23"/>
      <c r="E68" s="33"/>
      <c r="F68" s="23"/>
      <c r="G68" s="33"/>
      <c r="H68" s="24"/>
      <c r="I68" s="33"/>
      <c r="J68" s="25"/>
      <c r="K68" s="33"/>
      <c r="L68" s="23"/>
      <c r="M68" s="33"/>
      <c r="N68" s="23"/>
      <c r="O68" s="33"/>
      <c r="P68" s="26"/>
      <c r="Q68" s="33"/>
      <c r="R68" s="25"/>
      <c r="S68" s="33"/>
      <c r="T68" s="25"/>
      <c r="U68" s="33"/>
      <c r="V68" s="23"/>
    </row>
    <row r="69" spans="1:22" ht="21.6" customHeight="1" x14ac:dyDescent="0.15">
      <c r="A69" s="32"/>
      <c r="B69" s="22"/>
      <c r="C69" s="33"/>
      <c r="D69" s="23"/>
      <c r="E69" s="33"/>
      <c r="F69" s="23"/>
      <c r="G69" s="33"/>
      <c r="H69" s="24"/>
      <c r="I69" s="33"/>
      <c r="J69" s="25"/>
      <c r="K69" s="33"/>
      <c r="L69" s="23"/>
      <c r="M69" s="33"/>
      <c r="N69" s="23"/>
      <c r="O69" s="33"/>
      <c r="P69" s="26"/>
      <c r="Q69" s="33"/>
      <c r="R69" s="25"/>
      <c r="S69" s="33"/>
      <c r="T69" s="25"/>
      <c r="U69" s="33"/>
      <c r="V69" s="23"/>
    </row>
    <row r="70" spans="1:22" ht="21.6" customHeight="1" x14ac:dyDescent="0.15">
      <c r="A70" s="32"/>
      <c r="B70" s="22"/>
      <c r="C70" s="33"/>
      <c r="D70" s="23"/>
      <c r="E70" s="33"/>
      <c r="F70" s="23"/>
      <c r="G70" s="33"/>
      <c r="H70" s="24"/>
      <c r="I70" s="33"/>
      <c r="J70" s="25"/>
      <c r="K70" s="33"/>
      <c r="L70" s="23"/>
      <c r="M70" s="33"/>
      <c r="N70" s="23"/>
      <c r="O70" s="33"/>
      <c r="P70" s="26"/>
      <c r="Q70" s="33"/>
      <c r="R70" s="25"/>
      <c r="S70" s="33"/>
      <c r="T70" s="25"/>
      <c r="U70" s="33"/>
      <c r="V70" s="23"/>
    </row>
    <row r="71" spans="1:22" ht="21.6" customHeight="1" x14ac:dyDescent="0.15">
      <c r="A71" s="32"/>
      <c r="B71" s="22"/>
      <c r="C71" s="33"/>
      <c r="D71" s="23"/>
      <c r="E71" s="33"/>
      <c r="F71" s="23"/>
      <c r="G71" s="33"/>
      <c r="H71" s="24"/>
      <c r="I71" s="33"/>
      <c r="J71" s="25"/>
      <c r="K71" s="33"/>
      <c r="L71" s="23"/>
      <c r="M71" s="33"/>
      <c r="N71" s="23"/>
      <c r="O71" s="33"/>
      <c r="P71" s="26"/>
      <c r="Q71" s="33"/>
      <c r="R71" s="25"/>
      <c r="S71" s="33"/>
      <c r="T71" s="25"/>
      <c r="U71" s="33"/>
      <c r="V71" s="23"/>
    </row>
    <row r="72" spans="1:22" ht="21.6" customHeight="1" x14ac:dyDescent="0.15">
      <c r="A72" s="32"/>
      <c r="B72" s="22"/>
      <c r="C72" s="33"/>
      <c r="D72" s="23"/>
      <c r="E72" s="33"/>
      <c r="F72" s="23"/>
      <c r="G72" s="33"/>
      <c r="H72" s="24"/>
      <c r="I72" s="33"/>
      <c r="J72" s="25"/>
      <c r="K72" s="33"/>
      <c r="L72" s="23"/>
      <c r="M72" s="33"/>
      <c r="N72" s="23"/>
      <c r="O72" s="33"/>
      <c r="P72" s="26"/>
      <c r="Q72" s="33"/>
      <c r="R72" s="25"/>
      <c r="S72" s="33"/>
      <c r="T72" s="25"/>
      <c r="U72" s="33"/>
      <c r="V72" s="23"/>
    </row>
    <row r="73" spans="1:22" ht="21.6" customHeight="1" x14ac:dyDescent="0.15">
      <c r="A73" s="32"/>
      <c r="B73" s="22"/>
      <c r="C73" s="33"/>
      <c r="D73" s="23"/>
      <c r="E73" s="33"/>
      <c r="F73" s="23"/>
      <c r="G73" s="33"/>
      <c r="H73" s="24"/>
      <c r="I73" s="33"/>
      <c r="J73" s="25"/>
      <c r="K73" s="33"/>
      <c r="L73" s="23"/>
      <c r="M73" s="33"/>
      <c r="N73" s="23"/>
      <c r="O73" s="33"/>
      <c r="P73" s="26"/>
      <c r="Q73" s="33"/>
      <c r="R73" s="25"/>
      <c r="S73" s="33"/>
      <c r="T73" s="25"/>
      <c r="U73" s="33"/>
      <c r="V73" s="23"/>
    </row>
    <row r="74" spans="1:22" ht="21.6" customHeight="1" x14ac:dyDescent="0.15">
      <c r="A74" s="32"/>
      <c r="B74" s="22"/>
      <c r="C74" s="33"/>
      <c r="D74" s="23"/>
      <c r="E74" s="33"/>
      <c r="F74" s="23"/>
      <c r="G74" s="33"/>
      <c r="H74" s="24"/>
      <c r="I74" s="33"/>
      <c r="J74" s="25"/>
      <c r="K74" s="33"/>
      <c r="L74" s="23"/>
      <c r="M74" s="33"/>
      <c r="N74" s="23"/>
      <c r="O74" s="33"/>
      <c r="P74" s="26"/>
      <c r="Q74" s="33"/>
      <c r="R74" s="25"/>
      <c r="S74" s="33"/>
      <c r="T74" s="25"/>
      <c r="U74" s="33"/>
      <c r="V74" s="23"/>
    </row>
    <row r="75" spans="1:22" ht="21.6" customHeight="1" x14ac:dyDescent="0.15">
      <c r="A75" s="32"/>
      <c r="B75" s="22"/>
      <c r="C75" s="33"/>
      <c r="D75" s="23"/>
      <c r="E75" s="33"/>
      <c r="F75" s="23"/>
      <c r="G75" s="33"/>
      <c r="H75" s="24"/>
      <c r="I75" s="33"/>
      <c r="J75" s="25"/>
      <c r="K75" s="33"/>
      <c r="L75" s="23"/>
      <c r="M75" s="33"/>
      <c r="N75" s="23"/>
      <c r="O75" s="33"/>
      <c r="P75" s="26"/>
      <c r="Q75" s="33"/>
      <c r="R75" s="25"/>
      <c r="S75" s="33"/>
      <c r="T75" s="25"/>
      <c r="U75" s="33"/>
      <c r="V75" s="23"/>
    </row>
    <row r="76" spans="1:22" ht="21.6" customHeight="1" x14ac:dyDescent="0.15">
      <c r="A76" s="32"/>
      <c r="B76" s="22"/>
      <c r="C76" s="33"/>
      <c r="D76" s="23"/>
      <c r="E76" s="33"/>
      <c r="F76" s="23"/>
      <c r="G76" s="33"/>
      <c r="H76" s="24"/>
      <c r="I76" s="33"/>
      <c r="J76" s="25"/>
      <c r="K76" s="33"/>
      <c r="L76" s="23"/>
      <c r="M76" s="33"/>
      <c r="N76" s="23"/>
      <c r="O76" s="33"/>
      <c r="P76" s="26"/>
      <c r="Q76" s="33"/>
      <c r="R76" s="25"/>
      <c r="S76" s="33"/>
      <c r="T76" s="25"/>
      <c r="U76" s="33"/>
      <c r="V76" s="23"/>
    </row>
    <row r="77" spans="1:22" ht="21.6" customHeight="1" x14ac:dyDescent="0.15">
      <c r="A77" s="32"/>
      <c r="B77" s="22"/>
      <c r="C77" s="33"/>
      <c r="D77" s="23"/>
      <c r="E77" s="33"/>
      <c r="F77" s="23"/>
      <c r="G77" s="33"/>
      <c r="H77" s="24"/>
      <c r="I77" s="33"/>
      <c r="J77" s="25"/>
      <c r="K77" s="33"/>
      <c r="L77" s="23"/>
      <c r="M77" s="33"/>
      <c r="N77" s="23"/>
      <c r="O77" s="33"/>
      <c r="P77" s="26"/>
      <c r="Q77" s="33"/>
      <c r="R77" s="25"/>
      <c r="S77" s="33"/>
      <c r="T77" s="25"/>
      <c r="U77" s="33"/>
      <c r="V77" s="23"/>
    </row>
    <row r="78" spans="1:22" ht="21.6" customHeight="1" x14ac:dyDescent="0.15">
      <c r="A78" s="32"/>
      <c r="B78" s="22"/>
      <c r="C78" s="33"/>
      <c r="D78" s="23"/>
      <c r="E78" s="33"/>
      <c r="F78" s="23"/>
      <c r="G78" s="33"/>
      <c r="H78" s="24"/>
      <c r="I78" s="33"/>
      <c r="J78" s="25"/>
      <c r="K78" s="33"/>
      <c r="L78" s="23"/>
      <c r="M78" s="33"/>
      <c r="N78" s="23"/>
      <c r="O78" s="33"/>
      <c r="P78" s="26"/>
      <c r="Q78" s="33"/>
      <c r="R78" s="25"/>
      <c r="S78" s="33"/>
      <c r="T78" s="25"/>
      <c r="U78" s="33"/>
      <c r="V78" s="23"/>
    </row>
    <row r="79" spans="1:22" ht="21.6" customHeight="1" x14ac:dyDescent="0.15">
      <c r="A79" s="32"/>
      <c r="B79" s="22"/>
      <c r="C79" s="33"/>
      <c r="D79" s="23"/>
      <c r="E79" s="33"/>
      <c r="F79" s="23"/>
      <c r="G79" s="33"/>
      <c r="H79" s="24"/>
      <c r="I79" s="33"/>
      <c r="J79" s="25"/>
      <c r="K79" s="33"/>
      <c r="L79" s="23"/>
      <c r="M79" s="33"/>
      <c r="N79" s="23"/>
      <c r="O79" s="33"/>
      <c r="P79" s="26"/>
      <c r="Q79" s="33"/>
      <c r="R79" s="25"/>
      <c r="S79" s="33"/>
      <c r="T79" s="25"/>
      <c r="U79" s="33"/>
      <c r="V79" s="23"/>
    </row>
    <row r="80" spans="1:22" ht="21.6" customHeight="1" x14ac:dyDescent="0.15">
      <c r="A80" s="32"/>
      <c r="B80" s="22"/>
      <c r="C80" s="33"/>
      <c r="D80" s="23"/>
      <c r="E80" s="33"/>
      <c r="F80" s="23"/>
      <c r="G80" s="33"/>
      <c r="H80" s="24"/>
      <c r="I80" s="33"/>
      <c r="J80" s="25"/>
      <c r="K80" s="33"/>
      <c r="L80" s="23"/>
      <c r="M80" s="33"/>
      <c r="N80" s="23"/>
      <c r="O80" s="33"/>
      <c r="P80" s="26"/>
      <c r="Q80" s="33"/>
      <c r="R80" s="25"/>
      <c r="S80" s="33"/>
      <c r="T80" s="25"/>
      <c r="U80" s="33"/>
      <c r="V80" s="23"/>
    </row>
    <row r="81" spans="1:22" ht="21.6" customHeight="1" x14ac:dyDescent="0.15">
      <c r="A81" s="32"/>
      <c r="B81" s="22"/>
      <c r="C81" s="33"/>
      <c r="D81" s="23"/>
      <c r="E81" s="33"/>
      <c r="F81" s="23"/>
      <c r="G81" s="33"/>
      <c r="H81" s="24"/>
      <c r="I81" s="33"/>
      <c r="J81" s="25"/>
      <c r="K81" s="33"/>
      <c r="L81" s="23"/>
      <c r="M81" s="33"/>
      <c r="N81" s="23"/>
      <c r="O81" s="33"/>
      <c r="P81" s="26"/>
      <c r="Q81" s="33"/>
      <c r="R81" s="25"/>
      <c r="S81" s="33"/>
      <c r="T81" s="25"/>
      <c r="U81" s="33"/>
      <c r="V81" s="23"/>
    </row>
    <row r="82" spans="1:22" ht="21.6" customHeight="1" x14ac:dyDescent="0.15">
      <c r="A82" s="32"/>
      <c r="B82" s="22"/>
      <c r="C82" s="33"/>
      <c r="D82" s="23"/>
      <c r="E82" s="33"/>
      <c r="F82" s="23"/>
      <c r="G82" s="33"/>
      <c r="H82" s="24"/>
      <c r="I82" s="33"/>
      <c r="J82" s="25"/>
      <c r="K82" s="33"/>
      <c r="L82" s="23"/>
      <c r="M82" s="33"/>
      <c r="N82" s="23"/>
      <c r="O82" s="33"/>
      <c r="P82" s="26"/>
      <c r="Q82" s="33"/>
      <c r="R82" s="25"/>
      <c r="S82" s="33"/>
      <c r="T82" s="25"/>
      <c r="U82" s="33"/>
      <c r="V82" s="23"/>
    </row>
    <row r="83" spans="1:22" ht="21.6" customHeight="1" x14ac:dyDescent="0.15">
      <c r="A83" s="32"/>
      <c r="B83" s="22"/>
      <c r="C83" s="33"/>
      <c r="D83" s="23"/>
      <c r="E83" s="33"/>
      <c r="F83" s="23"/>
      <c r="G83" s="33"/>
      <c r="H83" s="24"/>
      <c r="I83" s="33"/>
      <c r="J83" s="25"/>
      <c r="K83" s="33"/>
      <c r="L83" s="23"/>
      <c r="M83" s="33"/>
      <c r="N83" s="23"/>
      <c r="O83" s="33"/>
      <c r="P83" s="26"/>
      <c r="Q83" s="33"/>
      <c r="R83" s="25"/>
      <c r="S83" s="33"/>
      <c r="T83" s="25"/>
      <c r="U83" s="33"/>
      <c r="V83" s="23"/>
    </row>
    <row r="84" spans="1:22" ht="21.6" customHeight="1" x14ac:dyDescent="0.15">
      <c r="A84" s="32"/>
      <c r="B84" s="22"/>
      <c r="C84" s="33"/>
      <c r="D84" s="23"/>
      <c r="E84" s="33"/>
      <c r="F84" s="23"/>
      <c r="G84" s="33"/>
      <c r="H84" s="24"/>
      <c r="I84" s="33"/>
      <c r="J84" s="25"/>
      <c r="K84" s="33"/>
      <c r="L84" s="23"/>
      <c r="M84" s="33"/>
      <c r="N84" s="23"/>
      <c r="O84" s="33"/>
      <c r="P84" s="26"/>
      <c r="Q84" s="33"/>
      <c r="R84" s="25"/>
      <c r="S84" s="33"/>
      <c r="T84" s="25"/>
      <c r="U84" s="33"/>
      <c r="V84" s="23"/>
    </row>
    <row r="85" spans="1:22" ht="21.6" customHeight="1" x14ac:dyDescent="0.15">
      <c r="A85" s="32"/>
      <c r="B85" s="22"/>
      <c r="C85" s="33"/>
      <c r="D85" s="23"/>
      <c r="E85" s="33"/>
      <c r="F85" s="23"/>
      <c r="G85" s="33"/>
      <c r="H85" s="24"/>
      <c r="I85" s="33"/>
      <c r="J85" s="25"/>
      <c r="K85" s="33"/>
      <c r="L85" s="23"/>
      <c r="M85" s="33"/>
      <c r="N85" s="23"/>
      <c r="O85" s="33"/>
      <c r="P85" s="26"/>
      <c r="Q85" s="33"/>
      <c r="R85" s="25"/>
      <c r="S85" s="33"/>
      <c r="T85" s="25"/>
      <c r="U85" s="33"/>
      <c r="V85" s="23"/>
    </row>
    <row r="86" spans="1:22" ht="21.6" customHeight="1" x14ac:dyDescent="0.15">
      <c r="A86" s="32"/>
      <c r="B86" s="22"/>
      <c r="C86" s="33"/>
      <c r="D86" s="23"/>
      <c r="E86" s="33"/>
      <c r="F86" s="23"/>
      <c r="G86" s="33"/>
      <c r="H86" s="24"/>
      <c r="I86" s="33"/>
      <c r="J86" s="25"/>
      <c r="K86" s="33"/>
      <c r="L86" s="23"/>
      <c r="M86" s="33"/>
      <c r="N86" s="23"/>
      <c r="O86" s="33"/>
      <c r="P86" s="26"/>
      <c r="Q86" s="33"/>
      <c r="R86" s="25"/>
      <c r="S86" s="33"/>
      <c r="T86" s="25"/>
      <c r="U86" s="33"/>
      <c r="V86" s="23"/>
    </row>
    <row r="87" spans="1:22" ht="21.6" customHeight="1" x14ac:dyDescent="0.15">
      <c r="A87" s="32"/>
      <c r="B87" s="22"/>
      <c r="C87" s="33"/>
      <c r="D87" s="23"/>
      <c r="E87" s="33"/>
      <c r="F87" s="23"/>
      <c r="G87" s="33"/>
      <c r="H87" s="24"/>
      <c r="I87" s="33"/>
      <c r="J87" s="25"/>
      <c r="K87" s="33"/>
      <c r="L87" s="23"/>
      <c r="M87" s="33"/>
      <c r="N87" s="23"/>
      <c r="O87" s="33"/>
      <c r="P87" s="26"/>
      <c r="Q87" s="33"/>
      <c r="R87" s="25"/>
      <c r="S87" s="33"/>
      <c r="T87" s="25"/>
      <c r="U87" s="33"/>
      <c r="V87" s="23"/>
    </row>
    <row r="88" spans="1:22" ht="21.6" customHeight="1" x14ac:dyDescent="0.15">
      <c r="A88" s="32"/>
      <c r="B88" s="22"/>
      <c r="C88" s="33"/>
      <c r="D88" s="23"/>
      <c r="E88" s="33"/>
      <c r="F88" s="23"/>
      <c r="G88" s="33"/>
      <c r="H88" s="24"/>
      <c r="I88" s="33"/>
      <c r="J88" s="25"/>
      <c r="K88" s="33"/>
      <c r="L88" s="23"/>
      <c r="M88" s="33"/>
      <c r="N88" s="23"/>
      <c r="O88" s="33"/>
      <c r="P88" s="26"/>
      <c r="Q88" s="33"/>
      <c r="R88" s="25"/>
      <c r="S88" s="33"/>
      <c r="T88" s="25"/>
      <c r="U88" s="33"/>
      <c r="V88" s="23"/>
    </row>
    <row r="89" spans="1:22" ht="21.6" customHeight="1" x14ac:dyDescent="0.15">
      <c r="A89" s="32"/>
      <c r="B89" s="22"/>
      <c r="C89" s="33"/>
      <c r="D89" s="23"/>
      <c r="E89" s="33"/>
      <c r="F89" s="23"/>
      <c r="G89" s="33"/>
      <c r="H89" s="24"/>
      <c r="I89" s="33"/>
      <c r="J89" s="25"/>
      <c r="K89" s="33"/>
      <c r="L89" s="23"/>
      <c r="M89" s="33"/>
      <c r="N89" s="23"/>
      <c r="O89" s="33"/>
      <c r="P89" s="26"/>
      <c r="Q89" s="33"/>
      <c r="R89" s="25"/>
      <c r="S89" s="33"/>
      <c r="T89" s="25"/>
      <c r="U89" s="33"/>
      <c r="V89" s="23"/>
    </row>
    <row r="90" spans="1:22" ht="21.6" customHeight="1" x14ac:dyDescent="0.15">
      <c r="A90" s="32"/>
      <c r="B90" s="22"/>
      <c r="C90" s="33"/>
      <c r="D90" s="23"/>
      <c r="E90" s="33"/>
      <c r="F90" s="23"/>
      <c r="G90" s="33"/>
      <c r="H90" s="24"/>
      <c r="I90" s="33"/>
      <c r="J90" s="25"/>
      <c r="K90" s="33"/>
      <c r="L90" s="23"/>
      <c r="M90" s="33"/>
      <c r="N90" s="23"/>
      <c r="O90" s="33"/>
      <c r="P90" s="26"/>
      <c r="Q90" s="33"/>
      <c r="R90" s="25"/>
      <c r="S90" s="33"/>
      <c r="T90" s="25"/>
      <c r="U90" s="33"/>
      <c r="V90" s="23"/>
    </row>
    <row r="91" spans="1:22" ht="21.6" customHeight="1" x14ac:dyDescent="0.15">
      <c r="A91" s="32"/>
      <c r="B91" s="22"/>
      <c r="C91" s="33"/>
      <c r="D91" s="23"/>
      <c r="E91" s="33"/>
      <c r="F91" s="23"/>
      <c r="G91" s="33"/>
      <c r="H91" s="24"/>
      <c r="I91" s="33"/>
      <c r="J91" s="25"/>
      <c r="K91" s="33"/>
      <c r="L91" s="23"/>
      <c r="M91" s="33"/>
      <c r="N91" s="23"/>
      <c r="O91" s="33"/>
      <c r="P91" s="26"/>
      <c r="Q91" s="33"/>
      <c r="R91" s="25"/>
      <c r="S91" s="33"/>
      <c r="T91" s="25"/>
      <c r="U91" s="33"/>
      <c r="V91" s="23"/>
    </row>
    <row r="92" spans="1:22" ht="21.6" customHeight="1" x14ac:dyDescent="0.15">
      <c r="A92" s="32"/>
      <c r="B92" s="22"/>
      <c r="C92" s="33"/>
      <c r="D92" s="23"/>
      <c r="E92" s="33"/>
      <c r="F92" s="23"/>
      <c r="G92" s="33"/>
      <c r="H92" s="24"/>
      <c r="I92" s="33"/>
      <c r="J92" s="25"/>
      <c r="K92" s="33"/>
      <c r="L92" s="23"/>
      <c r="M92" s="33"/>
      <c r="N92" s="23"/>
      <c r="O92" s="33"/>
      <c r="P92" s="26"/>
      <c r="Q92" s="33"/>
      <c r="R92" s="25"/>
      <c r="S92" s="33"/>
      <c r="T92" s="25"/>
      <c r="U92" s="33"/>
      <c r="V92" s="23"/>
    </row>
    <row r="93" spans="1:22" ht="21.6" customHeight="1" x14ac:dyDescent="0.15">
      <c r="A93" s="32"/>
      <c r="B93" s="22"/>
      <c r="C93" s="33"/>
      <c r="D93" s="23"/>
      <c r="E93" s="33"/>
      <c r="F93" s="23"/>
      <c r="G93" s="33"/>
      <c r="H93" s="24"/>
      <c r="I93" s="33"/>
      <c r="J93" s="25"/>
      <c r="K93" s="33"/>
      <c r="L93" s="23"/>
      <c r="M93" s="33"/>
      <c r="N93" s="23"/>
      <c r="O93" s="33"/>
      <c r="P93" s="26"/>
      <c r="Q93" s="33"/>
      <c r="R93" s="25"/>
      <c r="S93" s="33"/>
      <c r="T93" s="25"/>
      <c r="U93" s="33"/>
      <c r="V93" s="23"/>
    </row>
    <row r="94" spans="1:22" ht="21.6" customHeight="1" x14ac:dyDescent="0.15">
      <c r="A94" s="32"/>
      <c r="B94" s="22"/>
      <c r="C94" s="33"/>
      <c r="D94" s="23"/>
      <c r="E94" s="33"/>
      <c r="F94" s="23"/>
      <c r="G94" s="33"/>
      <c r="H94" s="24"/>
      <c r="I94" s="33"/>
      <c r="J94" s="25"/>
      <c r="K94" s="33"/>
      <c r="L94" s="23"/>
      <c r="M94" s="33"/>
      <c r="N94" s="23"/>
      <c r="O94" s="33"/>
      <c r="P94" s="26"/>
      <c r="Q94" s="33"/>
      <c r="R94" s="25"/>
      <c r="S94" s="33"/>
      <c r="T94" s="25"/>
      <c r="U94" s="33"/>
      <c r="V94" s="23"/>
    </row>
    <row r="95" spans="1:22" ht="21.6" customHeight="1" x14ac:dyDescent="0.15">
      <c r="A95" s="32"/>
      <c r="B95" s="22"/>
      <c r="C95" s="33"/>
      <c r="D95" s="23"/>
      <c r="E95" s="33"/>
      <c r="F95" s="23"/>
      <c r="G95" s="33"/>
      <c r="H95" s="24"/>
      <c r="I95" s="33"/>
      <c r="J95" s="25"/>
      <c r="K95" s="33"/>
      <c r="L95" s="23"/>
      <c r="M95" s="33"/>
      <c r="N95" s="23"/>
      <c r="O95" s="33"/>
      <c r="P95" s="26"/>
      <c r="Q95" s="33"/>
      <c r="R95" s="25"/>
      <c r="S95" s="33"/>
      <c r="T95" s="25"/>
      <c r="U95" s="33"/>
      <c r="V95" s="23"/>
    </row>
    <row r="96" spans="1:22" ht="21.6" customHeight="1" x14ac:dyDescent="0.15">
      <c r="A96" s="32"/>
      <c r="B96" s="22"/>
      <c r="C96" s="33"/>
      <c r="D96" s="23"/>
      <c r="E96" s="33"/>
      <c r="F96" s="23"/>
      <c r="G96" s="33"/>
      <c r="H96" s="24"/>
      <c r="I96" s="33"/>
      <c r="J96" s="25"/>
      <c r="K96" s="33"/>
      <c r="L96" s="23"/>
      <c r="M96" s="33"/>
      <c r="N96" s="23"/>
      <c r="O96" s="33"/>
      <c r="P96" s="26"/>
      <c r="Q96" s="33"/>
      <c r="R96" s="25"/>
      <c r="S96" s="33"/>
      <c r="T96" s="25"/>
      <c r="U96" s="33"/>
      <c r="V96" s="23"/>
    </row>
    <row r="97" spans="1:22" ht="21.6" customHeight="1" x14ac:dyDescent="0.15">
      <c r="A97" s="32"/>
      <c r="B97" s="22"/>
      <c r="C97" s="33"/>
      <c r="D97" s="23"/>
      <c r="E97" s="33"/>
      <c r="F97" s="23"/>
      <c r="G97" s="33"/>
      <c r="H97" s="24"/>
      <c r="I97" s="33"/>
      <c r="J97" s="25"/>
      <c r="K97" s="33"/>
      <c r="L97" s="23"/>
      <c r="M97" s="33"/>
      <c r="N97" s="23"/>
      <c r="O97" s="33"/>
      <c r="P97" s="26"/>
      <c r="Q97" s="33"/>
      <c r="R97" s="25"/>
      <c r="S97" s="33"/>
      <c r="T97" s="25"/>
      <c r="U97" s="33"/>
      <c r="V97" s="23"/>
    </row>
    <row r="98" spans="1:22" ht="21.6" customHeight="1" x14ac:dyDescent="0.15">
      <c r="A98" s="32"/>
      <c r="B98" s="22"/>
      <c r="C98" s="33"/>
      <c r="D98" s="23"/>
      <c r="E98" s="33"/>
      <c r="F98" s="23"/>
      <c r="G98" s="33"/>
      <c r="H98" s="24"/>
      <c r="I98" s="33"/>
      <c r="J98" s="25"/>
      <c r="K98" s="33"/>
      <c r="L98" s="23"/>
      <c r="M98" s="33"/>
      <c r="N98" s="23"/>
      <c r="O98" s="33"/>
      <c r="P98" s="26"/>
      <c r="Q98" s="33"/>
      <c r="R98" s="25"/>
      <c r="S98" s="33"/>
      <c r="T98" s="25"/>
      <c r="U98" s="33"/>
      <c r="V98" s="23"/>
    </row>
    <row r="99" spans="1:22" ht="21.6" customHeight="1" x14ac:dyDescent="0.15">
      <c r="A99" s="32"/>
      <c r="B99" s="22"/>
      <c r="C99" s="33"/>
      <c r="D99" s="23"/>
      <c r="E99" s="33"/>
      <c r="F99" s="23"/>
      <c r="G99" s="33"/>
      <c r="H99" s="24"/>
      <c r="I99" s="33"/>
      <c r="J99" s="25"/>
      <c r="K99" s="33"/>
      <c r="L99" s="23"/>
      <c r="M99" s="33"/>
      <c r="N99" s="23"/>
      <c r="O99" s="33"/>
      <c r="P99" s="26"/>
      <c r="Q99" s="33"/>
      <c r="R99" s="25"/>
      <c r="S99" s="33"/>
      <c r="T99" s="25"/>
      <c r="U99" s="33"/>
      <c r="V99" s="23"/>
    </row>
    <row r="100" spans="1:22" ht="21.6" customHeight="1" x14ac:dyDescent="0.15">
      <c r="A100" s="32"/>
      <c r="B100" s="22"/>
      <c r="C100" s="33"/>
      <c r="D100" s="23"/>
      <c r="E100" s="33"/>
      <c r="F100" s="23"/>
      <c r="G100" s="33"/>
      <c r="H100" s="24"/>
      <c r="I100" s="33"/>
      <c r="J100" s="25"/>
      <c r="K100" s="33"/>
      <c r="L100" s="23"/>
      <c r="M100" s="33"/>
      <c r="N100" s="23"/>
      <c r="O100" s="33"/>
      <c r="P100" s="26"/>
      <c r="Q100" s="33"/>
      <c r="R100" s="25"/>
      <c r="S100" s="33"/>
      <c r="T100" s="25"/>
      <c r="U100" s="33"/>
      <c r="V100" s="23"/>
    </row>
    <row r="101" spans="1:22" ht="21.6" customHeight="1" x14ac:dyDescent="0.15">
      <c r="A101" s="32"/>
      <c r="B101" s="22"/>
      <c r="C101" s="33"/>
      <c r="D101" s="23"/>
      <c r="E101" s="33"/>
      <c r="F101" s="23"/>
      <c r="G101" s="33"/>
      <c r="H101" s="24"/>
      <c r="I101" s="33"/>
      <c r="J101" s="25"/>
      <c r="K101" s="33"/>
      <c r="L101" s="23"/>
      <c r="M101" s="33"/>
      <c r="N101" s="23"/>
      <c r="O101" s="33"/>
      <c r="P101" s="26"/>
      <c r="Q101" s="33"/>
      <c r="R101" s="25"/>
      <c r="S101" s="33"/>
      <c r="T101" s="25"/>
      <c r="U101" s="33"/>
      <c r="V101" s="23"/>
    </row>
    <row r="102" spans="1:22" ht="21.6" customHeight="1" x14ac:dyDescent="0.15">
      <c r="A102" s="32"/>
      <c r="B102" s="22"/>
      <c r="C102" s="33"/>
      <c r="D102" s="23"/>
      <c r="E102" s="33"/>
      <c r="F102" s="23"/>
      <c r="G102" s="33"/>
      <c r="H102" s="24"/>
      <c r="I102" s="33"/>
      <c r="J102" s="25"/>
      <c r="K102" s="33"/>
      <c r="L102" s="23"/>
      <c r="M102" s="33"/>
      <c r="N102" s="23"/>
      <c r="O102" s="33"/>
      <c r="P102" s="26"/>
      <c r="Q102" s="33"/>
      <c r="R102" s="25"/>
      <c r="S102" s="33"/>
      <c r="T102" s="25"/>
      <c r="U102" s="33"/>
      <c r="V102" s="23"/>
    </row>
    <row r="103" spans="1:22" ht="21.6" customHeight="1" x14ac:dyDescent="0.15">
      <c r="A103" s="32"/>
      <c r="B103" s="22"/>
      <c r="C103" s="33"/>
      <c r="D103" s="23"/>
      <c r="E103" s="33"/>
      <c r="F103" s="23"/>
      <c r="G103" s="33"/>
      <c r="H103" s="24"/>
      <c r="I103" s="33"/>
      <c r="J103" s="25"/>
      <c r="K103" s="33"/>
      <c r="L103" s="23"/>
      <c r="M103" s="33"/>
      <c r="N103" s="23"/>
      <c r="O103" s="33"/>
      <c r="P103" s="26"/>
      <c r="Q103" s="33"/>
      <c r="R103" s="25"/>
      <c r="S103" s="33"/>
      <c r="T103" s="25"/>
      <c r="U103" s="33"/>
      <c r="V103" s="23"/>
    </row>
    <row r="104" spans="1:22" ht="21.6" customHeight="1" x14ac:dyDescent="0.15">
      <c r="A104" s="32"/>
      <c r="B104" s="22"/>
      <c r="C104" s="33"/>
      <c r="D104" s="23"/>
      <c r="E104" s="33"/>
      <c r="F104" s="23"/>
      <c r="G104" s="33"/>
      <c r="H104" s="24"/>
      <c r="I104" s="33"/>
      <c r="J104" s="25"/>
      <c r="K104" s="33"/>
      <c r="L104" s="23"/>
      <c r="M104" s="33"/>
      <c r="N104" s="23"/>
      <c r="O104" s="33"/>
      <c r="P104" s="26"/>
      <c r="Q104" s="33"/>
      <c r="R104" s="25"/>
      <c r="S104" s="33"/>
      <c r="T104" s="25"/>
      <c r="U104" s="33"/>
      <c r="V104" s="23"/>
    </row>
    <row r="105" spans="1:22" ht="21.6" customHeight="1" x14ac:dyDescent="0.15">
      <c r="A105" s="32"/>
      <c r="B105" s="22"/>
      <c r="C105" s="33"/>
      <c r="D105" s="23"/>
      <c r="E105" s="33"/>
      <c r="F105" s="23"/>
      <c r="G105" s="33"/>
      <c r="H105" s="24"/>
      <c r="I105" s="33"/>
      <c r="J105" s="25"/>
      <c r="K105" s="33"/>
      <c r="L105" s="23"/>
      <c r="M105" s="33"/>
      <c r="N105" s="23"/>
      <c r="O105" s="33"/>
      <c r="P105" s="26"/>
      <c r="Q105" s="33"/>
      <c r="R105" s="25"/>
      <c r="S105" s="33"/>
      <c r="T105" s="25"/>
      <c r="U105" s="33"/>
      <c r="V105" s="23"/>
    </row>
    <row r="106" spans="1:22" ht="21.6" customHeight="1" x14ac:dyDescent="0.15">
      <c r="A106" s="32"/>
      <c r="B106" s="22"/>
      <c r="C106" s="33"/>
      <c r="D106" s="23"/>
      <c r="E106" s="33"/>
      <c r="F106" s="23"/>
      <c r="G106" s="33"/>
      <c r="H106" s="24"/>
      <c r="I106" s="33"/>
      <c r="J106" s="25"/>
      <c r="K106" s="33"/>
      <c r="L106" s="23"/>
      <c r="M106" s="33"/>
      <c r="N106" s="23"/>
      <c r="O106" s="33"/>
      <c r="P106" s="26"/>
      <c r="Q106" s="33"/>
      <c r="R106" s="25"/>
      <c r="S106" s="33"/>
      <c r="T106" s="25"/>
      <c r="U106" s="33"/>
      <c r="V106" s="23"/>
    </row>
    <row r="107" spans="1:22" ht="21.6" customHeight="1" x14ac:dyDescent="0.15">
      <c r="A107" s="32"/>
      <c r="B107" s="22"/>
      <c r="C107" s="33"/>
      <c r="D107" s="23"/>
      <c r="E107" s="33"/>
      <c r="F107" s="23"/>
      <c r="G107" s="33"/>
      <c r="H107" s="24"/>
      <c r="I107" s="33"/>
      <c r="J107" s="25"/>
      <c r="K107" s="33"/>
      <c r="L107" s="23"/>
      <c r="M107" s="33"/>
      <c r="N107" s="23"/>
      <c r="O107" s="33"/>
      <c r="P107" s="26"/>
      <c r="Q107" s="33"/>
      <c r="R107" s="25"/>
      <c r="S107" s="33"/>
      <c r="T107" s="25"/>
      <c r="U107" s="33"/>
      <c r="V107" s="23"/>
    </row>
    <row r="108" spans="1:22" ht="21.6" customHeight="1" x14ac:dyDescent="0.15">
      <c r="A108" s="32"/>
      <c r="B108" s="22"/>
      <c r="C108" s="33"/>
      <c r="D108" s="23"/>
      <c r="E108" s="33"/>
      <c r="F108" s="23"/>
      <c r="G108" s="33"/>
      <c r="H108" s="24"/>
      <c r="I108" s="33"/>
      <c r="J108" s="25"/>
      <c r="K108" s="33"/>
      <c r="L108" s="23"/>
      <c r="M108" s="33"/>
      <c r="N108" s="23"/>
      <c r="O108" s="33"/>
      <c r="P108" s="26"/>
      <c r="Q108" s="33"/>
      <c r="R108" s="25"/>
      <c r="S108" s="33"/>
      <c r="T108" s="25"/>
      <c r="U108" s="33"/>
      <c r="V108" s="23"/>
    </row>
    <row r="109" spans="1:22" ht="21.6" customHeight="1" x14ac:dyDescent="0.15">
      <c r="A109" s="32"/>
      <c r="B109" s="22"/>
      <c r="C109" s="33"/>
      <c r="D109" s="23"/>
      <c r="E109" s="33"/>
      <c r="F109" s="23"/>
      <c r="G109" s="33"/>
      <c r="H109" s="24"/>
      <c r="I109" s="33"/>
      <c r="J109" s="25"/>
      <c r="K109" s="33"/>
      <c r="L109" s="23"/>
      <c r="M109" s="33"/>
      <c r="N109" s="23"/>
      <c r="O109" s="33"/>
      <c r="P109" s="26"/>
      <c r="Q109" s="33"/>
      <c r="R109" s="25"/>
      <c r="S109" s="33"/>
      <c r="T109" s="25"/>
      <c r="U109" s="33"/>
      <c r="V109" s="23"/>
    </row>
    <row r="110" spans="1:22" ht="21.6" customHeight="1" x14ac:dyDescent="0.15">
      <c r="A110" s="32"/>
      <c r="B110" s="22"/>
      <c r="C110" s="33"/>
      <c r="D110" s="23"/>
      <c r="E110" s="33"/>
      <c r="F110" s="23"/>
      <c r="G110" s="33"/>
      <c r="H110" s="24"/>
      <c r="I110" s="33"/>
      <c r="J110" s="25"/>
      <c r="K110" s="33"/>
      <c r="L110" s="23"/>
      <c r="M110" s="33"/>
      <c r="N110" s="23"/>
      <c r="O110" s="33"/>
      <c r="P110" s="26"/>
      <c r="Q110" s="33"/>
      <c r="R110" s="25"/>
      <c r="S110" s="33"/>
      <c r="T110" s="25"/>
      <c r="U110" s="33"/>
      <c r="V110" s="23"/>
    </row>
    <row r="111" spans="1:22" ht="21.6" customHeight="1" x14ac:dyDescent="0.15">
      <c r="A111" s="32"/>
      <c r="B111" s="22"/>
      <c r="C111" s="33"/>
      <c r="D111" s="23"/>
      <c r="E111" s="33"/>
      <c r="F111" s="23"/>
      <c r="G111" s="33"/>
      <c r="H111" s="24"/>
      <c r="I111" s="33"/>
      <c r="J111" s="25"/>
      <c r="K111" s="33"/>
      <c r="L111" s="23"/>
      <c r="M111" s="33"/>
      <c r="N111" s="23"/>
      <c r="O111" s="33"/>
      <c r="P111" s="26"/>
      <c r="Q111" s="33"/>
      <c r="R111" s="25"/>
      <c r="S111" s="33"/>
      <c r="T111" s="25"/>
      <c r="U111" s="33"/>
      <c r="V111" s="23"/>
    </row>
    <row r="112" spans="1:22" ht="21.6" customHeight="1" x14ac:dyDescent="0.15">
      <c r="A112" s="32"/>
      <c r="B112" s="22"/>
      <c r="C112" s="33"/>
      <c r="D112" s="23"/>
      <c r="E112" s="33"/>
      <c r="F112" s="23"/>
      <c r="G112" s="33"/>
      <c r="H112" s="24"/>
      <c r="I112" s="33"/>
      <c r="J112" s="25"/>
      <c r="K112" s="33"/>
      <c r="L112" s="23"/>
      <c r="M112" s="33"/>
      <c r="N112" s="23"/>
      <c r="O112" s="33"/>
      <c r="P112" s="26"/>
      <c r="Q112" s="33"/>
      <c r="R112" s="25"/>
      <c r="S112" s="33"/>
      <c r="T112" s="25"/>
      <c r="U112" s="33"/>
      <c r="V112" s="23"/>
    </row>
    <row r="113" spans="1:22" ht="21.6" customHeight="1" x14ac:dyDescent="0.15">
      <c r="A113" s="32"/>
      <c r="B113" s="22"/>
      <c r="C113" s="33"/>
      <c r="D113" s="23"/>
      <c r="E113" s="33"/>
      <c r="F113" s="23"/>
      <c r="G113" s="33"/>
      <c r="H113" s="24"/>
      <c r="I113" s="33"/>
      <c r="J113" s="25"/>
      <c r="K113" s="33"/>
      <c r="L113" s="23"/>
      <c r="M113" s="33"/>
      <c r="N113" s="23"/>
      <c r="O113" s="33"/>
      <c r="P113" s="26"/>
      <c r="Q113" s="33"/>
      <c r="R113" s="25"/>
      <c r="S113" s="33"/>
      <c r="T113" s="25"/>
      <c r="U113" s="33"/>
      <c r="V113" s="23"/>
    </row>
    <row r="114" spans="1:22" ht="21.6" customHeight="1" x14ac:dyDescent="0.15">
      <c r="A114" s="32"/>
      <c r="B114" s="22"/>
      <c r="C114" s="33"/>
      <c r="D114" s="23"/>
      <c r="E114" s="33"/>
      <c r="F114" s="23"/>
      <c r="G114" s="33"/>
      <c r="H114" s="24"/>
      <c r="I114" s="33"/>
      <c r="J114" s="25"/>
      <c r="K114" s="33"/>
      <c r="L114" s="23"/>
      <c r="M114" s="33"/>
      <c r="N114" s="23"/>
      <c r="O114" s="33"/>
      <c r="P114" s="26"/>
      <c r="Q114" s="33"/>
      <c r="R114" s="25"/>
      <c r="S114" s="33"/>
      <c r="T114" s="25"/>
      <c r="U114" s="33"/>
      <c r="V114" s="23"/>
    </row>
    <row r="115" spans="1:22" ht="21.6" customHeight="1" x14ac:dyDescent="0.15">
      <c r="A115" s="32"/>
      <c r="B115" s="22"/>
      <c r="C115" s="33"/>
      <c r="D115" s="23"/>
      <c r="E115" s="33"/>
      <c r="F115" s="23"/>
      <c r="G115" s="33"/>
      <c r="H115" s="24"/>
      <c r="I115" s="33"/>
      <c r="J115" s="25"/>
      <c r="K115" s="33"/>
      <c r="L115" s="23"/>
      <c r="M115" s="33"/>
      <c r="N115" s="23"/>
      <c r="O115" s="33"/>
      <c r="P115" s="26"/>
      <c r="Q115" s="33"/>
      <c r="R115" s="25"/>
      <c r="S115" s="33"/>
      <c r="T115" s="25"/>
      <c r="U115" s="33"/>
      <c r="V115" s="23"/>
    </row>
    <row r="116" spans="1:22" ht="21.6" customHeight="1" x14ac:dyDescent="0.15">
      <c r="A116" s="32"/>
      <c r="B116" s="22"/>
      <c r="C116" s="33"/>
      <c r="D116" s="23"/>
      <c r="E116" s="33"/>
      <c r="F116" s="23"/>
      <c r="G116" s="33"/>
      <c r="H116" s="24"/>
      <c r="I116" s="33"/>
      <c r="J116" s="25"/>
      <c r="K116" s="33"/>
      <c r="L116" s="23"/>
      <c r="M116" s="33"/>
      <c r="N116" s="23"/>
      <c r="O116" s="33"/>
      <c r="P116" s="26"/>
      <c r="Q116" s="33"/>
      <c r="R116" s="25"/>
      <c r="S116" s="33"/>
      <c r="T116" s="25"/>
      <c r="U116" s="33"/>
      <c r="V116" s="23"/>
    </row>
    <row r="117" spans="1:22" ht="21.6" customHeight="1" x14ac:dyDescent="0.15">
      <c r="A117" s="32"/>
      <c r="B117" s="22"/>
      <c r="C117" s="33"/>
      <c r="D117" s="23"/>
      <c r="E117" s="33"/>
      <c r="F117" s="23"/>
      <c r="G117" s="33"/>
      <c r="H117" s="24"/>
      <c r="I117" s="33"/>
      <c r="J117" s="25"/>
      <c r="K117" s="33"/>
      <c r="L117" s="23"/>
      <c r="M117" s="33"/>
      <c r="N117" s="23"/>
      <c r="O117" s="33"/>
      <c r="P117" s="26"/>
      <c r="Q117" s="33"/>
      <c r="R117" s="25"/>
      <c r="S117" s="33"/>
      <c r="T117" s="25"/>
      <c r="U117" s="33"/>
      <c r="V117" s="23"/>
    </row>
    <row r="118" spans="1:22" ht="21.6" customHeight="1" x14ac:dyDescent="0.15">
      <c r="A118" s="32"/>
      <c r="B118" s="22"/>
      <c r="C118" s="33"/>
      <c r="D118" s="23"/>
      <c r="E118" s="33"/>
      <c r="F118" s="23"/>
      <c r="G118" s="33"/>
      <c r="H118" s="24"/>
      <c r="I118" s="33"/>
      <c r="J118" s="25"/>
      <c r="K118" s="33"/>
      <c r="L118" s="23"/>
      <c r="M118" s="33"/>
      <c r="N118" s="23"/>
      <c r="O118" s="33"/>
      <c r="P118" s="26"/>
      <c r="Q118" s="33"/>
      <c r="R118" s="25"/>
      <c r="S118" s="33"/>
      <c r="T118" s="25"/>
      <c r="U118" s="33"/>
      <c r="V118" s="23"/>
    </row>
    <row r="119" spans="1:22" ht="21.6" customHeight="1" x14ac:dyDescent="0.15">
      <c r="A119" s="32"/>
      <c r="B119" s="22"/>
      <c r="C119" s="33"/>
      <c r="D119" s="23"/>
      <c r="E119" s="33"/>
      <c r="F119" s="23"/>
      <c r="G119" s="33"/>
      <c r="H119" s="24"/>
      <c r="I119" s="33"/>
      <c r="J119" s="25"/>
      <c r="K119" s="33"/>
      <c r="L119" s="23"/>
      <c r="M119" s="33"/>
      <c r="N119" s="23"/>
      <c r="O119" s="33"/>
      <c r="P119" s="26"/>
      <c r="Q119" s="33"/>
      <c r="R119" s="25"/>
      <c r="S119" s="33"/>
      <c r="T119" s="25"/>
      <c r="U119" s="33"/>
      <c r="V119" s="23"/>
    </row>
    <row r="120" spans="1:22" ht="21.6" customHeight="1" x14ac:dyDescent="0.15">
      <c r="A120" s="32"/>
      <c r="B120" s="22"/>
      <c r="C120" s="33"/>
      <c r="D120" s="23"/>
      <c r="E120" s="33"/>
      <c r="F120" s="23"/>
      <c r="G120" s="33"/>
      <c r="H120" s="24"/>
      <c r="I120" s="33"/>
      <c r="J120" s="25"/>
      <c r="K120" s="33"/>
      <c r="L120" s="23"/>
      <c r="M120" s="33"/>
      <c r="N120" s="23"/>
      <c r="O120" s="33"/>
      <c r="P120" s="26"/>
      <c r="Q120" s="33"/>
      <c r="R120" s="25"/>
      <c r="S120" s="33"/>
      <c r="T120" s="25"/>
      <c r="U120" s="33"/>
      <c r="V120" s="23"/>
    </row>
    <row r="121" spans="1:22" ht="21.6" customHeight="1" x14ac:dyDescent="0.15">
      <c r="A121" s="32"/>
      <c r="B121" s="22"/>
      <c r="C121" s="33"/>
      <c r="D121" s="23"/>
      <c r="E121" s="33"/>
      <c r="F121" s="23"/>
      <c r="G121" s="33"/>
      <c r="H121" s="24"/>
      <c r="I121" s="33"/>
      <c r="J121" s="25"/>
      <c r="K121" s="33"/>
      <c r="L121" s="23"/>
      <c r="M121" s="33"/>
      <c r="N121" s="23"/>
      <c r="O121" s="33"/>
      <c r="P121" s="26"/>
      <c r="Q121" s="33"/>
      <c r="R121" s="25"/>
      <c r="S121" s="33"/>
      <c r="T121" s="25"/>
      <c r="U121" s="33"/>
      <c r="V121" s="23"/>
    </row>
    <row r="122" spans="1:22" ht="21.6" customHeight="1" x14ac:dyDescent="0.15">
      <c r="A122" s="32"/>
      <c r="B122" s="22"/>
      <c r="C122" s="33"/>
      <c r="D122" s="23"/>
      <c r="E122" s="33"/>
      <c r="F122" s="23"/>
      <c r="G122" s="33"/>
      <c r="H122" s="24"/>
      <c r="I122" s="33"/>
      <c r="J122" s="25"/>
      <c r="K122" s="33"/>
      <c r="L122" s="23"/>
      <c r="M122" s="33"/>
      <c r="N122" s="23"/>
      <c r="O122" s="33"/>
      <c r="P122" s="26"/>
      <c r="Q122" s="33"/>
      <c r="R122" s="25"/>
      <c r="S122" s="33"/>
      <c r="T122" s="25"/>
      <c r="U122" s="33"/>
      <c r="V122" s="23"/>
    </row>
    <row r="123" spans="1:22" ht="21.6" customHeight="1" x14ac:dyDescent="0.15">
      <c r="A123" s="32"/>
      <c r="B123" s="22"/>
      <c r="C123" s="33"/>
      <c r="D123" s="23"/>
      <c r="E123" s="33"/>
      <c r="F123" s="23"/>
      <c r="G123" s="33"/>
      <c r="H123" s="24"/>
      <c r="I123" s="33"/>
      <c r="J123" s="25"/>
      <c r="K123" s="33"/>
      <c r="L123" s="23"/>
      <c r="M123" s="33"/>
      <c r="N123" s="23"/>
      <c r="O123" s="33"/>
      <c r="P123" s="26"/>
      <c r="Q123" s="33"/>
      <c r="R123" s="25"/>
      <c r="S123" s="33"/>
      <c r="T123" s="25"/>
      <c r="U123" s="33"/>
      <c r="V123" s="23"/>
    </row>
    <row r="124" spans="1:22" ht="21.6" customHeight="1" x14ac:dyDescent="0.15">
      <c r="A124" s="32"/>
      <c r="B124" s="22"/>
      <c r="C124" s="33"/>
      <c r="D124" s="23"/>
      <c r="E124" s="33"/>
      <c r="F124" s="23"/>
      <c r="G124" s="33"/>
      <c r="H124" s="24"/>
      <c r="I124" s="33"/>
      <c r="J124" s="25"/>
      <c r="K124" s="33"/>
      <c r="L124" s="23"/>
      <c r="M124" s="33"/>
      <c r="N124" s="23"/>
      <c r="O124" s="33"/>
      <c r="P124" s="26"/>
      <c r="Q124" s="33"/>
      <c r="R124" s="25"/>
      <c r="S124" s="33"/>
      <c r="T124" s="25"/>
      <c r="U124" s="33"/>
      <c r="V124" s="23"/>
    </row>
    <row r="125" spans="1:22" x14ac:dyDescent="0.15">
      <c r="A125" s="32"/>
      <c r="B125" s="22"/>
      <c r="C125" s="33"/>
      <c r="D125" s="23"/>
      <c r="E125" s="33"/>
      <c r="F125" s="23"/>
      <c r="G125" s="33"/>
      <c r="H125" s="24"/>
      <c r="I125" s="33"/>
      <c r="J125" s="25"/>
      <c r="K125" s="33"/>
      <c r="L125" s="23"/>
      <c r="M125" s="33"/>
      <c r="N125" s="23"/>
      <c r="O125" s="32"/>
      <c r="P125" s="26"/>
      <c r="Q125" s="32"/>
      <c r="R125" s="25"/>
      <c r="S125" s="32"/>
      <c r="T125" s="25"/>
      <c r="U125" s="32"/>
      <c r="V125" s="23"/>
    </row>
    <row r="126" spans="1:22" x14ac:dyDescent="0.15">
      <c r="A126" s="32"/>
      <c r="B126" s="22"/>
      <c r="C126" s="33"/>
      <c r="D126" s="23"/>
      <c r="E126" s="33"/>
      <c r="F126" s="23"/>
      <c r="G126" s="32"/>
      <c r="H126" s="24"/>
      <c r="I126" s="32"/>
      <c r="J126" s="25"/>
      <c r="K126" s="32"/>
      <c r="L126" s="23"/>
      <c r="M126" s="33"/>
      <c r="N126" s="23"/>
      <c r="O126" s="32"/>
      <c r="P126" s="26"/>
      <c r="Q126" s="32"/>
      <c r="R126" s="25"/>
      <c r="S126" s="32"/>
      <c r="T126" s="25"/>
      <c r="U126" s="32"/>
      <c r="V126" s="23"/>
    </row>
    <row r="127" spans="1:22" x14ac:dyDescent="0.15">
      <c r="A127" s="32"/>
      <c r="B127" s="22"/>
      <c r="C127" s="32"/>
      <c r="D127" s="23"/>
      <c r="E127" s="32"/>
      <c r="F127" s="23"/>
      <c r="G127" s="32"/>
      <c r="H127" s="24"/>
      <c r="I127" s="32"/>
      <c r="J127" s="25"/>
      <c r="K127" s="32"/>
      <c r="L127" s="23"/>
      <c r="M127" s="33"/>
      <c r="N127" s="23"/>
      <c r="O127" s="32"/>
      <c r="P127" s="26"/>
      <c r="Q127" s="32"/>
      <c r="R127" s="25"/>
      <c r="S127" s="32"/>
      <c r="T127" s="25"/>
      <c r="U127" s="32"/>
      <c r="V127" s="23"/>
    </row>
    <row r="128" spans="1:22" x14ac:dyDescent="0.15">
      <c r="A128" s="32"/>
      <c r="B128" s="22"/>
      <c r="C128" s="32"/>
      <c r="D128" s="23"/>
      <c r="E128" s="32"/>
      <c r="F128" s="23"/>
      <c r="G128" s="32"/>
      <c r="H128" s="24"/>
      <c r="I128" s="32"/>
      <c r="J128" s="25"/>
      <c r="K128" s="32"/>
      <c r="L128" s="23"/>
      <c r="M128" s="33"/>
      <c r="N128" s="23"/>
      <c r="O128" s="32"/>
      <c r="P128" s="26"/>
      <c r="Q128" s="32"/>
      <c r="R128" s="25"/>
      <c r="S128" s="32"/>
      <c r="T128" s="25"/>
      <c r="U128" s="32"/>
      <c r="V128" s="23"/>
    </row>
    <row r="129" spans="1:22" x14ac:dyDescent="0.15">
      <c r="A129" s="32"/>
      <c r="B129" s="22"/>
      <c r="C129" s="32"/>
      <c r="D129" s="23"/>
      <c r="E129" s="32"/>
      <c r="F129" s="23"/>
      <c r="G129" s="32"/>
      <c r="H129" s="24"/>
      <c r="I129" s="32"/>
      <c r="J129" s="25"/>
      <c r="K129" s="32"/>
      <c r="L129" s="23"/>
      <c r="M129" s="33"/>
      <c r="N129" s="23"/>
      <c r="O129" s="32"/>
      <c r="P129" s="26"/>
      <c r="Q129" s="32"/>
      <c r="R129" s="25"/>
      <c r="S129" s="32"/>
      <c r="T129" s="25"/>
      <c r="U129" s="32"/>
      <c r="V129" s="23"/>
    </row>
    <row r="130" spans="1:22" x14ac:dyDescent="0.15">
      <c r="A130" s="32"/>
      <c r="B130" s="22"/>
      <c r="C130" s="32"/>
      <c r="D130" s="23"/>
      <c r="E130" s="32"/>
      <c r="F130" s="23"/>
      <c r="G130" s="32"/>
      <c r="H130" s="24"/>
      <c r="I130" s="32"/>
      <c r="J130" s="25"/>
      <c r="K130" s="32"/>
      <c r="L130" s="23"/>
      <c r="M130" s="33"/>
      <c r="N130" s="23"/>
      <c r="O130" s="32"/>
      <c r="P130" s="26"/>
      <c r="Q130" s="32"/>
      <c r="R130" s="25"/>
      <c r="S130" s="32"/>
      <c r="T130" s="25"/>
      <c r="U130" s="32"/>
      <c r="V130" s="23"/>
    </row>
    <row r="131" spans="1:22" x14ac:dyDescent="0.15">
      <c r="A131" s="32"/>
      <c r="B131" s="22"/>
      <c r="C131" s="32"/>
      <c r="D131" s="23"/>
      <c r="E131" s="32"/>
      <c r="F131" s="23"/>
      <c r="G131" s="32"/>
      <c r="H131" s="24"/>
      <c r="I131" s="32"/>
      <c r="J131" s="25"/>
      <c r="K131" s="32"/>
      <c r="L131" s="23"/>
      <c r="M131" s="33"/>
      <c r="N131" s="23"/>
      <c r="O131" s="32"/>
      <c r="P131" s="26"/>
      <c r="Q131" s="32"/>
      <c r="R131" s="25"/>
      <c r="S131" s="32"/>
      <c r="T131" s="25"/>
      <c r="U131" s="32"/>
      <c r="V131" s="23"/>
    </row>
    <row r="132" spans="1:22" x14ac:dyDescent="0.15">
      <c r="A132" s="32"/>
      <c r="B132" s="22"/>
      <c r="C132" s="32"/>
      <c r="D132" s="23"/>
      <c r="E132" s="32"/>
      <c r="F132" s="23"/>
      <c r="G132" s="32"/>
      <c r="H132" s="24"/>
      <c r="I132" s="32"/>
      <c r="J132" s="25"/>
      <c r="K132" s="32"/>
      <c r="L132" s="23"/>
      <c r="M132" s="32"/>
      <c r="N132" s="23"/>
      <c r="O132" s="32"/>
      <c r="P132" s="26"/>
      <c r="Q132" s="32"/>
      <c r="R132" s="25"/>
      <c r="S132" s="32"/>
      <c r="T132" s="25"/>
      <c r="U132" s="32"/>
      <c r="V132" s="23"/>
    </row>
    <row r="133" spans="1:22" x14ac:dyDescent="0.15">
      <c r="A133" s="32"/>
      <c r="B133" s="22"/>
      <c r="C133" s="32"/>
      <c r="D133" s="23"/>
      <c r="E133" s="32"/>
      <c r="F133" s="23"/>
      <c r="G133" s="32"/>
      <c r="H133" s="24"/>
      <c r="I133" s="32"/>
      <c r="J133" s="25"/>
      <c r="K133" s="32"/>
      <c r="L133" s="23"/>
      <c r="M133" s="32"/>
      <c r="N133" s="23"/>
      <c r="O133" s="32"/>
      <c r="P133" s="26"/>
      <c r="Q133" s="32"/>
      <c r="R133" s="25"/>
      <c r="S133" s="32"/>
      <c r="T133" s="25"/>
      <c r="U133" s="32"/>
      <c r="V133" s="23"/>
    </row>
    <row r="134" spans="1:22" x14ac:dyDescent="0.15">
      <c r="A134" s="32"/>
      <c r="B134" s="22"/>
      <c r="C134" s="32"/>
      <c r="D134" s="23"/>
      <c r="E134" s="32"/>
      <c r="F134" s="23"/>
      <c r="G134" s="32"/>
      <c r="H134" s="24"/>
      <c r="I134" s="32"/>
      <c r="J134" s="25"/>
      <c r="K134" s="32"/>
      <c r="L134" s="23"/>
      <c r="M134" s="32"/>
      <c r="N134" s="23"/>
      <c r="O134" s="32"/>
      <c r="P134" s="26"/>
      <c r="Q134" s="32"/>
      <c r="R134" s="25"/>
      <c r="S134" s="32"/>
      <c r="T134" s="25"/>
      <c r="U134" s="32"/>
      <c r="V134" s="23"/>
    </row>
    <row r="135" spans="1:22" x14ac:dyDescent="0.15">
      <c r="A135" s="32"/>
      <c r="B135" s="22"/>
      <c r="C135" s="32"/>
      <c r="D135" s="23"/>
      <c r="E135" s="32"/>
      <c r="F135" s="23"/>
      <c r="G135" s="32"/>
      <c r="H135" s="24"/>
      <c r="I135" s="32"/>
      <c r="J135" s="25"/>
      <c r="K135" s="32"/>
      <c r="L135" s="23"/>
      <c r="M135" s="32"/>
      <c r="N135" s="23"/>
      <c r="O135" s="32"/>
      <c r="P135" s="26"/>
      <c r="Q135" s="32"/>
      <c r="R135" s="25"/>
      <c r="S135" s="32"/>
      <c r="T135" s="25"/>
      <c r="U135" s="32"/>
      <c r="V135" s="23"/>
    </row>
    <row r="136" spans="1:22" x14ac:dyDescent="0.15">
      <c r="A136" s="32"/>
      <c r="B136" s="22"/>
      <c r="C136" s="32"/>
      <c r="D136" s="23"/>
      <c r="E136" s="32"/>
      <c r="F136" s="23"/>
      <c r="G136" s="32"/>
      <c r="H136" s="24"/>
      <c r="I136" s="32"/>
      <c r="J136" s="25"/>
      <c r="K136" s="32"/>
      <c r="L136" s="23"/>
      <c r="M136" s="32"/>
      <c r="N136" s="23"/>
      <c r="O136" s="32"/>
      <c r="P136" s="26"/>
      <c r="Q136" s="32"/>
      <c r="R136" s="25"/>
      <c r="S136" s="32"/>
      <c r="T136" s="25"/>
      <c r="U136" s="32"/>
      <c r="V136" s="23"/>
    </row>
    <row r="137" spans="1:22" x14ac:dyDescent="0.15">
      <c r="A137" s="32"/>
      <c r="B137" s="22"/>
      <c r="C137" s="32"/>
      <c r="D137" s="23"/>
      <c r="E137" s="32"/>
      <c r="F137" s="23"/>
      <c r="G137" s="32"/>
      <c r="H137" s="24"/>
      <c r="I137" s="32"/>
      <c r="J137" s="25"/>
      <c r="K137" s="32"/>
      <c r="L137" s="23"/>
      <c r="M137" s="32"/>
      <c r="N137" s="23"/>
      <c r="O137" s="32"/>
      <c r="P137" s="26"/>
      <c r="Q137" s="32"/>
      <c r="R137" s="25"/>
      <c r="S137" s="32"/>
      <c r="T137" s="25"/>
      <c r="U137" s="32"/>
      <c r="V137" s="23"/>
    </row>
    <row r="138" spans="1:22" x14ac:dyDescent="0.15">
      <c r="A138" s="32"/>
      <c r="B138" s="22"/>
      <c r="C138" s="32"/>
      <c r="D138" s="23"/>
      <c r="E138" s="32"/>
      <c r="F138" s="23"/>
      <c r="G138" s="32"/>
      <c r="H138" s="24"/>
      <c r="I138" s="32"/>
      <c r="J138" s="25"/>
      <c r="K138" s="32"/>
      <c r="L138" s="23"/>
      <c r="M138" s="32"/>
      <c r="N138" s="23"/>
      <c r="O138" s="32"/>
      <c r="P138" s="26"/>
      <c r="Q138" s="32"/>
      <c r="R138" s="25"/>
      <c r="S138" s="32"/>
      <c r="T138" s="25"/>
      <c r="U138" s="32"/>
      <c r="V138" s="23"/>
    </row>
    <row r="139" spans="1:22" x14ac:dyDescent="0.15">
      <c r="A139" s="32"/>
      <c r="B139" s="22"/>
      <c r="C139" s="32"/>
      <c r="D139" s="23"/>
      <c r="E139" s="32"/>
      <c r="F139" s="23"/>
      <c r="G139" s="32"/>
      <c r="H139" s="24"/>
      <c r="I139" s="32"/>
      <c r="J139" s="25"/>
      <c r="K139" s="32"/>
      <c r="L139" s="23"/>
      <c r="M139" s="32"/>
      <c r="N139" s="23"/>
      <c r="O139" s="32"/>
      <c r="P139" s="26"/>
      <c r="Q139" s="32"/>
      <c r="R139" s="25"/>
      <c r="S139" s="32"/>
      <c r="T139" s="25"/>
      <c r="U139" s="32"/>
      <c r="V139" s="23"/>
    </row>
    <row r="140" spans="1:22" x14ac:dyDescent="0.15">
      <c r="A140" s="32"/>
      <c r="B140" s="22"/>
      <c r="C140" s="32"/>
      <c r="D140" s="23"/>
      <c r="E140" s="32"/>
      <c r="F140" s="23"/>
      <c r="G140" s="32"/>
      <c r="H140" s="24"/>
      <c r="I140" s="32"/>
      <c r="J140" s="25"/>
      <c r="K140" s="32"/>
      <c r="L140" s="23"/>
      <c r="M140" s="32"/>
      <c r="N140" s="23"/>
      <c r="O140" s="32"/>
      <c r="P140" s="26"/>
      <c r="Q140" s="32"/>
      <c r="R140" s="25"/>
      <c r="S140" s="32"/>
      <c r="T140" s="25"/>
      <c r="U140" s="32"/>
      <c r="V140" s="23"/>
    </row>
  </sheetData>
  <mergeCells count="19">
    <mergeCell ref="A1:A2"/>
    <mergeCell ref="V1:V2"/>
    <mergeCell ref="B1:I1"/>
    <mergeCell ref="J1:Q1"/>
    <mergeCell ref="T1:U1"/>
    <mergeCell ref="T2:U2"/>
    <mergeCell ref="W1:AC1"/>
    <mergeCell ref="B2:C2"/>
    <mergeCell ref="D2:E2"/>
    <mergeCell ref="F2:G2"/>
    <mergeCell ref="H2:I2"/>
    <mergeCell ref="J2:K2"/>
    <mergeCell ref="L2:M2"/>
    <mergeCell ref="N2:O2"/>
    <mergeCell ref="P2:Q2"/>
    <mergeCell ref="W2:Y2"/>
    <mergeCell ref="Z2:AB2"/>
    <mergeCell ref="R1:S1"/>
    <mergeCell ref="R2:S2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慧明 杜</cp:lastModifiedBy>
  <dcterms:created xsi:type="dcterms:W3CDTF">2023-05-12T11:15:00Z</dcterms:created>
  <dcterms:modified xsi:type="dcterms:W3CDTF">2026-09-20T13:52:16Z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9CEC923717354A29BC2B75478CD8C8BF_12</vt:lpwstr>
  </property>
  <property fmtid="{D5CDD505-2E9C-101B-9397-08002B2CF9AE}" pid="4" name="CalculationRule">
    <vt:i4>0</vt:i4>
  </property>
</Properties>
</file>